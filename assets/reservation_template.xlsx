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sman\Desktop\"/>
    </mc:Choice>
  </mc:AlternateContent>
  <bookViews>
    <workbookView xWindow="0" yWindow="0" windowWidth="22260" windowHeight="12648"/>
  </bookViews>
  <sheets>
    <sheet name="09.03-08.04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'[1]IVA-DEC'!#REF!</definedName>
    <definedName name="__123Graph_B" hidden="1">'[1]IVA-DEC'!#REF!</definedName>
    <definedName name="__123Graph_C" hidden="1">'[1]IVA-DEC'!#REF!</definedName>
    <definedName name="__123Graph_D" hidden="1">'[1]IVA-DEC'!#REF!</definedName>
    <definedName name="__123Graph_E" hidden="1">'[1]IVA-DEC'!#REF!</definedName>
    <definedName name="__123Graph_F" hidden="1">'[1]IVA-DEC'!#REF!</definedName>
    <definedName name="__123Graph_X" hidden="1">[2]PIPELINE!$E$797:$E$814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[4]Kategoriler!$A$227:$B$260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[8]Ref!$B$19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[9]Programlar!$A$2:$B$121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INDIRECT('[10]Resource-Strings'!$A$1)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[11]HL!#REF!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[12]Kategoriler!$A$2:$B$45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[13]Kategoriler!#REF!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[14]!calculate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[15]FINALPHP!$G$27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[17]Kategoriler!$A$347:$B$350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[7]Foglio1!$R$1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[19]Kategoriler!$A$1:$B$29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'[18]SpotList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[18]Exchange!$B$10:$P$24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[21]Sayfa2!#REF!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[24]Ref!$B$1</definedName>
    <definedName name="Intest.2">[8]Ref!$B$2</definedName>
    <definedName name="Intest.3">[8]Ref!$B$3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'[25]AMOUNT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[26]HL!#REF!</definedName>
    <definedName name="KAMPANTALİSTESİ">[11]HL!#REF!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[27]Kategoriler!$A$95:$B$138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>#REF!</definedName>
    <definedName name="KATLIST_1">NA()</definedName>
    <definedName name="KD">[9]Programlar!$A$130:$B$235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'[10]Resource-Strings'!$E$1:$G$65536</definedName>
    <definedName name="lansman" hidden="1">{#N/A,#N/A,FALSE,"Sheet1 (2)"}</definedName>
    <definedName name="LAR" hidden="1">#REF!</definedName>
    <definedName name="LIS">#REF!</definedName>
    <definedName name="LIST">[13]Kategoriler!$A$1:$B$44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[8]Ref!$B$18</definedName>
    <definedName name="Mesi">[8]Ref!$A$26:$B$37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[13]Kategoriler!$A$46:$B$57</definedName>
    <definedName name="ntvmsnbc">#REF!</definedName>
    <definedName name="ntvno">'[31]ntv-fiyat'!$A$25:$C$41</definedName>
    <definedName name="NumberOne">#REF!</definedName>
    <definedName name="NumberOne_1">NA()</definedName>
    <definedName name="Nummer">[7]Foglio1!$R$1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[28]Köprü!#REF!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[32]Base!#REF!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[33]CKD!$B$1:$Y$25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'[18]SpotList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'[34]Prezzi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[9]Programlar!$A$246:$B$347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>#REF!</definedName>
    <definedName name="SPOT_TURU_INDIRIMI_KANAL">#REF!</definedName>
    <definedName name="spotlist1">[36]Copies!$A$12:$A$23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'[37]plan-gaz1'!$B$1:$B$65536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[9]Programlar!$A$130:$B$235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[21]Sayfa2!#REF!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'[18]SpotList (2)'!$C$11:$C$500</definedName>
    <definedName name="Tarife">[28]Köprü!$A$1:$B$89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[39]Copies!$K$12:$K$21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'[18]SpotList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[27]Kategoriler!$A$415:$B$498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'[18]SpotList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[9]Kategoriler!$A$86:$B$102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[7]Foglio1!#REF!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</workbook>
</file>

<file path=xl/calcChain.xml><?xml version="1.0" encoding="utf-8"?>
<calcChain xmlns="http://schemas.openxmlformats.org/spreadsheetml/2006/main">
  <c r="AH60" i="1" l="1"/>
  <c r="AM13" i="1"/>
  <c r="AL13" i="1"/>
  <c r="AR13" i="1" s="1"/>
  <c r="AL17" i="1"/>
  <c r="AR17" i="1" s="1"/>
  <c r="AL24" i="1"/>
  <c r="AR24" i="1" s="1"/>
  <c r="AL28" i="1"/>
  <c r="AR28" i="1" s="1"/>
  <c r="AL32" i="1"/>
  <c r="AR32" i="1" s="1"/>
  <c r="AL36" i="1"/>
  <c r="AR36" i="1" s="1"/>
  <c r="AL40" i="1"/>
  <c r="AR40" i="1" s="1"/>
  <c r="AL44" i="1"/>
  <c r="AR44" i="1" s="1"/>
  <c r="AL48" i="1"/>
  <c r="AR48" i="1" s="1"/>
  <c r="AL52" i="1"/>
  <c r="AR52" i="1" s="1"/>
  <c r="AL56" i="1"/>
  <c r="AR56" i="1" s="1"/>
  <c r="AL8" i="1"/>
  <c r="AR8" i="1" s="1"/>
  <c r="AI11" i="1"/>
  <c r="AM11" i="1" s="1"/>
  <c r="AI8" i="1"/>
  <c r="AM8" i="1" s="1"/>
  <c r="AI9" i="1"/>
  <c r="AM9" i="1" s="1"/>
  <c r="AI10" i="1"/>
  <c r="AM10" i="1" s="1"/>
  <c r="AI12" i="1"/>
  <c r="AM12" i="1" s="1"/>
  <c r="AI13" i="1"/>
  <c r="AI14" i="1"/>
  <c r="AM14" i="1" s="1"/>
  <c r="AI15" i="1"/>
  <c r="AM15" i="1" s="1"/>
  <c r="AI16" i="1"/>
  <c r="AM16" i="1" s="1"/>
  <c r="AI17" i="1"/>
  <c r="AM17" i="1" s="1"/>
  <c r="AI18" i="1"/>
  <c r="AM18" i="1" s="1"/>
  <c r="AI19" i="1"/>
  <c r="AM19" i="1" s="1"/>
  <c r="AI20" i="1"/>
  <c r="AM20" i="1" s="1"/>
  <c r="AI21" i="1"/>
  <c r="AL21" i="1" s="1"/>
  <c r="AR21" i="1" s="1"/>
  <c r="AI22" i="1"/>
  <c r="AL22" i="1" s="1"/>
  <c r="AR22" i="1" s="1"/>
  <c r="AI23" i="1"/>
  <c r="AM23" i="1" s="1"/>
  <c r="AI24" i="1"/>
  <c r="AM24" i="1" s="1"/>
  <c r="AI25" i="1"/>
  <c r="AL25" i="1" s="1"/>
  <c r="AR25" i="1" s="1"/>
  <c r="AI26" i="1"/>
  <c r="AM26" i="1" s="1"/>
  <c r="AI27" i="1"/>
  <c r="AM27" i="1" s="1"/>
  <c r="AI28" i="1"/>
  <c r="AM28" i="1" s="1"/>
  <c r="AI29" i="1"/>
  <c r="AL29" i="1" s="1"/>
  <c r="AR29" i="1" s="1"/>
  <c r="AI30" i="1"/>
  <c r="AL30" i="1" s="1"/>
  <c r="AR30" i="1" s="1"/>
  <c r="AI31" i="1"/>
  <c r="AM31" i="1" s="1"/>
  <c r="AI32" i="1"/>
  <c r="AM32" i="1" s="1"/>
  <c r="AI33" i="1"/>
  <c r="AL33" i="1" s="1"/>
  <c r="AR33" i="1" s="1"/>
  <c r="AI34" i="1"/>
  <c r="AM34" i="1" s="1"/>
  <c r="AI35" i="1"/>
  <c r="AM35" i="1" s="1"/>
  <c r="AI36" i="1"/>
  <c r="AM36" i="1" s="1"/>
  <c r="AI37" i="1"/>
  <c r="AL37" i="1" s="1"/>
  <c r="AR37" i="1" s="1"/>
  <c r="AI38" i="1"/>
  <c r="AL38" i="1" s="1"/>
  <c r="AR38" i="1" s="1"/>
  <c r="AI39" i="1"/>
  <c r="AM39" i="1" s="1"/>
  <c r="AI40" i="1"/>
  <c r="AM40" i="1" s="1"/>
  <c r="AI41" i="1"/>
  <c r="AL41" i="1" s="1"/>
  <c r="AR41" i="1" s="1"/>
  <c r="AI42" i="1"/>
  <c r="AM42" i="1" s="1"/>
  <c r="AI43" i="1"/>
  <c r="AM43" i="1" s="1"/>
  <c r="AI44" i="1"/>
  <c r="AM44" i="1" s="1"/>
  <c r="AI45" i="1"/>
  <c r="AL45" i="1" s="1"/>
  <c r="AR45" i="1" s="1"/>
  <c r="AI46" i="1"/>
  <c r="AL46" i="1" s="1"/>
  <c r="AR46" i="1" s="1"/>
  <c r="AI47" i="1"/>
  <c r="AM47" i="1" s="1"/>
  <c r="AI48" i="1"/>
  <c r="AM48" i="1" s="1"/>
  <c r="AI49" i="1"/>
  <c r="AL49" i="1" s="1"/>
  <c r="AR49" i="1" s="1"/>
  <c r="AI50" i="1"/>
  <c r="AM50" i="1" s="1"/>
  <c r="AI51" i="1"/>
  <c r="AM51" i="1" s="1"/>
  <c r="AI52" i="1"/>
  <c r="AM52" i="1" s="1"/>
  <c r="AI53" i="1"/>
  <c r="AL53" i="1" s="1"/>
  <c r="AR53" i="1" s="1"/>
  <c r="AI54" i="1"/>
  <c r="AL54" i="1" s="1"/>
  <c r="AR54" i="1" s="1"/>
  <c r="AI55" i="1"/>
  <c r="AM55" i="1" s="1"/>
  <c r="AI56" i="1"/>
  <c r="AM56" i="1" s="1"/>
  <c r="AI57" i="1"/>
  <c r="AL57" i="1" s="1"/>
  <c r="AR57" i="1" s="1"/>
  <c r="AI58" i="1"/>
  <c r="AM58" i="1" s="1"/>
  <c r="AI59" i="1"/>
  <c r="AM59" i="1" s="1"/>
  <c r="AL59" i="1" l="1"/>
  <c r="AR59" i="1" s="1"/>
  <c r="AL51" i="1"/>
  <c r="AR51" i="1" s="1"/>
  <c r="AL43" i="1"/>
  <c r="AR43" i="1" s="1"/>
  <c r="AL35" i="1"/>
  <c r="AR35" i="1" s="1"/>
  <c r="AM54" i="1"/>
  <c r="AM46" i="1"/>
  <c r="AM38" i="1"/>
  <c r="AM30" i="1"/>
  <c r="AM22" i="1"/>
  <c r="AL58" i="1"/>
  <c r="AR58" i="1" s="1"/>
  <c r="AL50" i="1"/>
  <c r="AR50" i="1" s="1"/>
  <c r="AL42" i="1"/>
  <c r="AR42" i="1" s="1"/>
  <c r="AL34" i="1"/>
  <c r="AR34" i="1" s="1"/>
  <c r="AL26" i="1"/>
  <c r="AR26" i="1" s="1"/>
  <c r="AL9" i="1"/>
  <c r="AR9" i="1" s="1"/>
  <c r="AM57" i="1"/>
  <c r="AM53" i="1"/>
  <c r="AM49" i="1"/>
  <c r="AM45" i="1"/>
  <c r="AM41" i="1"/>
  <c r="AM37" i="1"/>
  <c r="AM33" i="1"/>
  <c r="AM29" i="1"/>
  <c r="AM25" i="1"/>
  <c r="AM21" i="1"/>
  <c r="AL55" i="1"/>
  <c r="AR55" i="1" s="1"/>
  <c r="AL47" i="1"/>
  <c r="AR47" i="1" s="1"/>
  <c r="AL39" i="1"/>
  <c r="AR39" i="1" s="1"/>
  <c r="AL31" i="1"/>
  <c r="AR31" i="1" s="1"/>
  <c r="AL27" i="1"/>
  <c r="AR27" i="1" s="1"/>
  <c r="AL23" i="1"/>
  <c r="AR23" i="1" s="1"/>
  <c r="AL20" i="1"/>
  <c r="AR20" i="1" s="1"/>
  <c r="AL16" i="1"/>
  <c r="AR16" i="1" s="1"/>
  <c r="AL12" i="1"/>
  <c r="AR12" i="1" s="1"/>
  <c r="AL19" i="1"/>
  <c r="AR19" i="1" s="1"/>
  <c r="AL15" i="1"/>
  <c r="AR15" i="1" s="1"/>
  <c r="AL11" i="1"/>
  <c r="AR11" i="1" s="1"/>
  <c r="AL18" i="1"/>
  <c r="AR18" i="1" s="1"/>
  <c r="AL14" i="1"/>
  <c r="AR14" i="1" s="1"/>
  <c r="AL10" i="1"/>
  <c r="AR10" i="1" s="1"/>
  <c r="AK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R61" i="1" l="1"/>
  <c r="AR62" i="1" s="1"/>
  <c r="AR63" i="1" s="1"/>
  <c r="AR60" i="1"/>
  <c r="AI60" i="1"/>
  <c r="AJ60" i="1"/>
  <c r="AL60" i="1" l="1"/>
  <c r="AR64" i="1"/>
  <c r="AR65" i="1"/>
  <c r="AM60" i="1"/>
</calcChain>
</file>

<file path=xl/sharedStrings.xml><?xml version="1.0" encoding="utf-8"?>
<sst xmlns="http://schemas.openxmlformats.org/spreadsheetml/2006/main" count="550" uniqueCount="127">
  <si>
    <t>Ajans:</t>
  </si>
  <si>
    <t>scope</t>
  </si>
  <si>
    <t>Reklam Veren:</t>
  </si>
  <si>
    <t>Jumbo</t>
  </si>
  <si>
    <t>Alem Fm</t>
  </si>
  <si>
    <t>Ürün:</t>
  </si>
  <si>
    <t>tatlı</t>
  </si>
  <si>
    <t>Rezervasyon Formu</t>
  </si>
  <si>
    <t>Plan Başlığı:</t>
  </si>
  <si>
    <t>jumbo-mart-nisan</t>
  </si>
  <si>
    <t>Rezervasyon No:</t>
  </si>
  <si>
    <t>J-2026W05-1168</t>
  </si>
  <si>
    <t>Dönemi:</t>
  </si>
  <si>
    <t>09.03.2026 - 20.04.2026</t>
  </si>
  <si>
    <t>Kuşak</t>
  </si>
  <si>
    <t>Dinlenme
Oranı</t>
  </si>
  <si>
    <t>Dolar
Kuru</t>
  </si>
  <si>
    <t>Pt
09.03</t>
  </si>
  <si>
    <t>Sa
10.03</t>
  </si>
  <si>
    <t>Ça
11.03</t>
  </si>
  <si>
    <t>Pş
12.03</t>
  </si>
  <si>
    <t>Cu
13.03</t>
  </si>
  <si>
    <t>Ct
14.03</t>
  </si>
  <si>
    <t>Pa
15.03</t>
  </si>
  <si>
    <t>Pt
16.03</t>
  </si>
  <si>
    <t>Sa
17.03</t>
  </si>
  <si>
    <t>Ça
18.03</t>
  </si>
  <si>
    <t>Pş
19.03</t>
  </si>
  <si>
    <t>Cu
20.03</t>
  </si>
  <si>
    <t>Ct
21.03</t>
  </si>
  <si>
    <t>Pa
22.03</t>
  </si>
  <si>
    <t>Pt
23.03</t>
  </si>
  <si>
    <t>Sa
24.03</t>
  </si>
  <si>
    <t>Ça
25.03</t>
  </si>
  <si>
    <t>Pş
26.03</t>
  </si>
  <si>
    <t>Cu
27.03</t>
  </si>
  <si>
    <t>Ct
28.03</t>
  </si>
  <si>
    <t>Pa
29.03</t>
  </si>
  <si>
    <t>Pt
30.03</t>
  </si>
  <si>
    <t>Sa
31.03</t>
  </si>
  <si>
    <t>Ça
01.04</t>
  </si>
  <si>
    <t>Pş
02.04</t>
  </si>
  <si>
    <t>Cu
03.04</t>
  </si>
  <si>
    <t>Ct
04.04</t>
  </si>
  <si>
    <t>Pa
05.04</t>
  </si>
  <si>
    <t>Pt
06.04</t>
  </si>
  <si>
    <t>Sa
07.04</t>
  </si>
  <si>
    <t>Ça
08.04</t>
  </si>
  <si>
    <t>Bedelli
Adet</t>
  </si>
  <si>
    <t>Bedelsiz
Adet</t>
  </si>
  <si>
    <t>Barter
Adet</t>
  </si>
  <si>
    <t>Toplam
Adet</t>
  </si>
  <si>
    <t>Bedelli
Süre</t>
  </si>
  <si>
    <t>Bedelsiz
Süre</t>
  </si>
  <si>
    <t>Barter
Süre</t>
  </si>
  <si>
    <t>Birim
Fiyatı</t>
  </si>
  <si>
    <t>Para
Birimi</t>
  </si>
  <si>
    <t>Brüt
Tutar(TL)</t>
  </si>
  <si>
    <t>07:00-07:15</t>
  </si>
  <si>
    <t>B</t>
  </si>
  <si>
    <t>K</t>
  </si>
  <si>
    <t>TL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</si>
  <si>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</si>
  <si>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</si>
  <si>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</si>
  <si>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</si>
  <si>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</si>
  <si>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</si>
  <si>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</si>
  <si>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</si>
  <si>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</si>
  <si>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</si>
  <si>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</si>
  <si>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</si>
  <si>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</si>
  <si>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</si>
  <si>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</si>
  <si>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</si>
  <si>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</si>
  <si>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</si>
  <si>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</si>
  <si>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</si>
  <si>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</si>
  <si>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</si>
  <si>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</si>
  <si>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</si>
  <si>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</si>
  <si>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</si>
  <si>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</si>
  <si>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</si>
  <si>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</si>
  <si>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</si>
  <si>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</si>
  <si>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</si>
  <si>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</si>
  <si>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</si>
  <si>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</si>
  <si>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</si>
  <si>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</si>
  <si>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</si>
  <si>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</si>
  <si>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</si>
  <si>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</si>
  <si>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</si>
  <si>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</si>
  <si>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</si>
  <si>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</si>
  <si>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</si>
  <si>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</si>
  <si>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</si>
  <si>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</si>
  <si>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</si>
  <si>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</si>
  <si>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Brüt Tutar</t>
  </si>
  <si>
    <t>Ajans Komisyonu % 10</t>
  </si>
  <si>
    <t>Kalan</t>
  </si>
  <si>
    <t>KDV % 20</t>
  </si>
  <si>
    <t>Genel Toplam</t>
  </si>
  <si>
    <t>Kod</t>
  </si>
  <si>
    <t>Süre</t>
  </si>
  <si>
    <t>Açıklama</t>
  </si>
  <si>
    <t>B,K</t>
  </si>
  <si>
    <t>(391)</t>
  </si>
  <si>
    <t>NOT: fatura yok</t>
  </si>
  <si>
    <t>Osman Sofu - 31.01.2026 14:47</t>
  </si>
  <si>
    <t>Baklava,</t>
  </si>
  <si>
    <t>Künefe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</si>
</sst>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##,###,###,###,###,###,##0.#####"/>
    <numFmt numFmtId="165" formatCode="###,###,###,###,###,###,##0.000"/>
    <numFmt numFmtId="166" formatCode="&quot;₺&quot;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sz val="13"/>
      <color theme="1"/>
      <name val="Calibri"/>
      <family val="2"/>
      <charset val="162"/>
      <scheme val="minor"/>
    </font>
    <font>
      <sz val="11"/>
      <color theme="1"/>
      <name val="Arial"/>
      <family val="2"/>
      <charset val="162"/>
    </font>
    <font>
      <b/>
      <i/>
      <sz val="13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3"/>
      <color rgb="FF000000"/>
      <name val="Calibri"/>
      <family val="2"/>
      <charset val="16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 Light"/>
      <family val="2"/>
      <charset val="16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67">
    <xf numFmtId="0" fontId="0" fillId="0" borderId="0" xfId="0"/>
    <xf numFmtId="0" fontId="2" fillId="0" borderId="0" xfId="1" applyFont="1"/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3" fillId="0" borderId="0" xfId="1" applyFont="1" applyAlignment="1">
      <alignment horizontal="left"/>
    </xf>
    <xf numFmtId="0" fontId="5" fillId="0" borderId="0" xfId="1" applyFont="1"/>
    <xf numFmtId="0" fontId="6" fillId="0" borderId="0" xfId="1" applyFont="1"/>
    <xf numFmtId="0" fontId="7" fillId="0" borderId="0" xfId="1" applyFont="1"/>
    <xf numFmtId="0" fontId="1" fillId="4" borderId="0" xfId="1" applyFill="1"/>
    <xf numFmtId="0" fontId="8" fillId="0" borderId="0" xfId="0" applyFont="1"/>
    <xf numFmtId="0" fontId="2" fillId="0" borderId="0" xfId="0" applyFont="1"/>
    <xf numFmtId="0" fontId="3" fillId="0" borderId="0" xfId="1" applyFont="1"/>
    <xf numFmtId="0" fontId="0" fillId="0" borderId="0" xfId="0" applyAlignment="1"/>
    <xf numFmtId="0" fontId="1" fillId="0" borderId="0" xfId="1" applyAlignment="1"/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4" borderId="0" xfId="1" applyFont="1" applyFill="1"/>
    <xf numFmtId="0" fontId="3" fillId="0" borderId="0" xfId="1" applyFont="1" applyAlignment="1">
      <alignment horizontal="center"/>
    </xf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2" fillId="3" borderId="2" xfId="1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 wrapText="1"/>
    </xf>
    <xf numFmtId="0" fontId="2" fillId="2" borderId="1" xfId="1" applyFont="1" applyFill="1" applyBorder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166" fontId="9" fillId="0" borderId="8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3" fillId="3" borderId="8" xfId="1" applyNumberFormat="1" applyFont="1" applyFill="1" applyBorder="1" applyAlignment="1">
      <alignment horizontal="center" vertical="center"/>
    </xf>
    <xf numFmtId="0" fontId="3" fillId="5" borderId="8" xfId="1" applyNumberFormat="1" applyFont="1" applyFill="1" applyBorder="1" applyAlignment="1">
      <alignment horizontal="center" vertical="center"/>
    </xf>
    <xf numFmtId="3" fontId="3" fillId="0" borderId="10" xfId="1" applyNumberFormat="1" applyFont="1" applyBorder="1" applyAlignment="1">
      <alignment horizontal="center" vertic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11" xfId="0" applyFont="1" applyBorder="1" applyAlignment="1">
      <alignment horizontal="right"/>
    </xf>
    <xf numFmtId="0" fontId="3" fillId="0" borderId="0" xfId="1" applyFont="1" applyBorder="1" applyAlignment="1">
      <alignment horizontal="right"/>
    </xf>
    <xf numFmtId="0" fontId="3" fillId="0" borderId="5" xfId="1" applyFont="1" applyBorder="1" applyAlignment="1">
      <alignment horizontal="right"/>
    </xf>
    <xf numFmtId="0" fontId="3" fillId="0" borderId="0" xfId="1" applyFont="1" applyAlignment="1">
      <alignment horizontal="right"/>
    </xf>
    <xf numFmtId="0" fontId="8" fillId="0" borderId="6" xfId="0" applyFont="1" applyBorder="1" applyAlignment="1">
      <alignment horizontal="right"/>
    </xf>
    <xf numFmtId="3" fontId="3" fillId="0" borderId="0" xfId="1" applyNumberFormat="1" applyFont="1" applyBorder="1"/>
    <xf numFmtId="3" fontId="3" fillId="0" borderId="0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center" vertical="center"/>
    </xf>
    <xf numFmtId="3" fontId="3" fillId="0" borderId="13" xfId="1" applyNumberFormat="1" applyFont="1" applyBorder="1"/>
    <xf numFmtId="3" fontId="3" fillId="0" borderId="13" xfId="1" applyNumberFormat="1" applyFont="1" applyBorder="1" applyAlignment="1">
      <alignment horizontal="right"/>
    </xf>
    <xf numFmtId="3" fontId="3" fillId="0" borderId="14" xfId="1" applyNumberFormat="1" applyFont="1" applyBorder="1"/>
    <xf numFmtId="3" fontId="3" fillId="0" borderId="14" xfId="1" applyNumberFormat="1" applyFont="1" applyBorder="1" applyAlignment="1">
      <alignment horizontal="right"/>
    </xf>
    <xf numFmtId="3" fontId="3" fillId="0" borderId="9" xfId="1" applyNumberFormat="1" applyFont="1" applyBorder="1" applyAlignment="1">
      <alignment horizontal="center" vertical="center"/>
    </xf>
    <xf numFmtId="4" fontId="3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65" fontId="3" fillId="0" borderId="12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/>
    </xf>
    <xf numFmtId="4" fontId="2" fillId="0" borderId="2" xfId="1" applyNumberFormat="1" applyFont="1" applyBorder="1" applyAlignment="1">
      <alignment horizontal="center" vertical="center"/>
    </xf>
    <xf numFmtId="4" fontId="3" fillId="0" borderId="5" xfId="1" applyNumberFormat="1" applyFont="1" applyBorder="1" applyAlignment="1">
      <alignment horizontal="center" vertical="center"/>
    </xf>
    <xf numFmtId="4" fontId="3" fillId="0" borderId="7" xfId="1" applyNumberFormat="1" applyFont="1" applyBorder="1" applyAlignment="1">
      <alignment horizontal="center" vertical="center"/>
    </xf>
  </cellXfs>
  <cellStyles count="3">
    <cellStyle name="Normal" xfId="0" builtinId="0"/>
    <cellStyle name="Normal 2" xfId="1"/>
    <cellStyle name="Normal 2 3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92528</xdr:colOff>
      <xdr:row>0</xdr:row>
      <xdr:rowOff>54428</xdr:rowOff>
    </xdr:from>
    <xdr:ext cx="1219200" cy="12192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565583" y="54428"/>
          <a:ext cx="1219200" cy="12192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erkan/data/PROJE/BUTCE/2003/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COMMUNICATION%20PLANNING%20DEPARTMENT/Commercial%20Union/2000/Plans/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51527/Impostazioni%20locali/Temporary%20Internet%20Files/OLKD/General%20Presentations/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reganzani/video/operational/Teleconference/Corrente/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My%20Documents/NREISOGLU-2001-2005/SON%20CALISMA/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Dosyalar/2002%20BUTCE%20CALISMALARI/BUTCE/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maslakserver/CLIENT%20SERVICES/Istikbal/Plans/Istikbal%20Feb%20Toplu%20Planlar/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PLANNING%20&amp;%20RESEARCH%20DEPARTMENT/PLANNING/Henkel/1999/Persil/03%20March%201999/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65509/Impostazioni%20locali/Temporary%20Internet%20Files/OLK1/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istfpsp01102/DFS/Users/mihrimah.kipritoglu/AppData/Local/Microsoft/Windows/INetCache/Content.Outlook/BBY46R58/TV/Actual/Oct99/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Yelda/EXPER%20(C)/Documents%20and%20Settings/Administrator/Local%20Settings/Temporary%20Internet%20Files/OLK91/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$NDS/.PCF_WORK.PCF.DAF.FIASA/EDU/FECHAMES/JUN99/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Mediamaxsrv/company/Client/Albaraka/2003/Plan/Nisan/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77"/>
  <sheetViews>
    <sheetView showGridLines="0" tabSelected="1" zoomScale="55" zoomScaleNormal="55" workbookViewId="0">
      <selection activeCell="AR8" sqref="AR8"/>
    </sheetView>
  </sheetViews>
  <sheetFormatPr defaultRowHeight="14.4" x14ac:dyDescent="0.3"/>
  <cols>
    <col min="1" max="1" width="18.109375" style="3" bestFit="1" customWidth="1"/>
    <col min="2" max="2" width="12.109375" style="3" bestFit="1" customWidth="1"/>
    <col min="3" max="3" width="14.88671875" style="37" bestFit="1" customWidth="1"/>
    <col min="4" max="4" width="4.109375" style="3" customWidth="1"/>
    <col min="5" max="5" width="4" style="3" bestFit="1" customWidth="1"/>
    <col min="6" max="6" width="4.33203125" style="3" customWidth="1"/>
    <col min="7" max="7" width="3.6640625" style="3" bestFit="1" customWidth="1"/>
    <col min="8" max="8" width="4" style="3" bestFit="1" customWidth="1"/>
    <col min="9" max="9" width="3.6640625" style="3" customWidth="1"/>
    <col min="10" max="10" width="4.109375" style="3" bestFit="1" customWidth="1"/>
    <col min="11" max="11" width="4.109375" style="3" customWidth="1"/>
    <col min="12" max="12" width="4" style="3" bestFit="1" customWidth="1"/>
    <col min="13" max="14" width="3.77734375" style="3" bestFit="1" customWidth="1"/>
    <col min="15" max="15" width="4" style="3" bestFit="1" customWidth="1"/>
    <col min="16" max="16" width="3.77734375" style="3" bestFit="1" customWidth="1"/>
    <col min="17" max="17" width="4.109375" style="3" bestFit="1" customWidth="1"/>
    <col min="18" max="18" width="3.77734375" style="3" bestFit="1" customWidth="1"/>
    <col min="19" max="19" width="4" style="3" bestFit="1" customWidth="1"/>
    <col min="20" max="21" width="3.77734375" style="3" bestFit="1" customWidth="1"/>
    <col min="22" max="22" width="4" style="3" bestFit="1" customWidth="1"/>
    <col min="23" max="33" width="4.44140625" style="3" bestFit="1" customWidth="1"/>
    <col min="34" max="34" width="4.5546875" style="4" customWidth="1"/>
    <col min="35" max="35" width="8" style="3" customWidth="1"/>
    <col min="36" max="36" width="9.5546875" style="3" bestFit="1" customWidth="1"/>
    <col min="37" max="37" width="7.44140625" style="3" bestFit="1" customWidth="1"/>
    <col min="38" max="38" width="8.77734375" style="3" bestFit="1" customWidth="1"/>
    <col min="39" max="39" width="8.21875" style="3" bestFit="1" customWidth="1"/>
    <col min="40" max="40" width="9.5546875" style="3" bestFit="1" customWidth="1"/>
    <col min="41" max="41" width="7.5546875" style="3" customWidth="1"/>
    <col min="42" max="42" width="7" style="3" bestFit="1" customWidth="1"/>
    <col min="43" max="43" width="7.33203125" style="37" customWidth="1"/>
    <col min="44" max="44" width="11" style="3" customWidth="1"/>
    <col min="45" max="16384" width="8.88671875" style="3"/>
  </cols>
  <sheetData>
    <row r="1" spans="1:44" ht="17.399999999999999" customHeight="1" x14ac:dyDescent="0.35">
      <c r="A1" s="1" t="s">
        <v>0</v>
      </c>
      <c r="B1" s="12" t="s">
        <v>1</v>
      </c>
      <c r="C1" s="3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22"/>
      <c r="AI1" s="12"/>
      <c r="AJ1" s="12"/>
      <c r="AK1" s="12"/>
      <c r="AL1" s="12"/>
      <c r="AM1" s="12"/>
      <c r="AN1" s="12"/>
      <c r="AO1" s="12"/>
      <c r="AP1" s="12"/>
      <c r="AQ1" s="35"/>
      <c r="AR1" s="12"/>
    </row>
    <row r="2" spans="1:44" ht="17.399999999999999" customHeight="1" x14ac:dyDescent="0.35">
      <c r="A2" s="1" t="s">
        <v>2</v>
      </c>
      <c r="B2" s="12" t="s">
        <v>3</v>
      </c>
      <c r="C2" s="35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0" t="s">
        <v>4</v>
      </c>
      <c r="V2" s="5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22"/>
      <c r="AI2" s="12"/>
      <c r="AJ2" s="12"/>
      <c r="AK2" s="12"/>
      <c r="AL2" s="12"/>
      <c r="AM2" s="12"/>
      <c r="AN2" s="12"/>
      <c r="AO2" s="12"/>
      <c r="AP2" s="12"/>
      <c r="AQ2" s="35"/>
      <c r="AR2" s="12"/>
    </row>
    <row r="3" spans="1:44" ht="17.399999999999999" customHeight="1" x14ac:dyDescent="0.35">
      <c r="A3" s="1" t="s">
        <v>5</v>
      </c>
      <c r="B3" s="12" t="s">
        <v>6</v>
      </c>
      <c r="C3" s="35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2" t="s">
        <v>7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22"/>
      <c r="AI3" s="12"/>
      <c r="AJ3" s="12"/>
      <c r="AK3" s="12"/>
      <c r="AL3" s="12"/>
      <c r="AM3" s="12"/>
      <c r="AN3" s="12"/>
      <c r="AO3" s="12"/>
      <c r="AP3" s="12"/>
      <c r="AQ3" s="35"/>
      <c r="AR3" s="12"/>
    </row>
    <row r="4" spans="1:44" ht="17.399999999999999" customHeight="1" x14ac:dyDescent="0.35">
      <c r="A4" s="1" t="s">
        <v>8</v>
      </c>
      <c r="B4" s="12" t="s">
        <v>9</v>
      </c>
      <c r="C4" s="35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22"/>
      <c r="AI4" s="12"/>
      <c r="AJ4" s="12"/>
      <c r="AK4" s="12"/>
      <c r="AL4" s="12"/>
      <c r="AM4" s="12"/>
      <c r="AN4" s="12"/>
      <c r="AO4" s="12"/>
      <c r="AP4" s="12"/>
      <c r="AQ4" s="35"/>
      <c r="AR4" s="12"/>
    </row>
    <row r="5" spans="1:44" ht="17.399999999999999" customHeight="1" x14ac:dyDescent="0.35">
      <c r="A5" s="1" t="s">
        <v>10</v>
      </c>
      <c r="B5" s="12" t="s">
        <v>11</v>
      </c>
      <c r="C5" s="35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22"/>
      <c r="AI5" s="12"/>
      <c r="AJ5" s="12"/>
      <c r="AK5" s="12"/>
      <c r="AL5" s="12"/>
      <c r="AM5" s="12"/>
      <c r="AN5" s="12"/>
      <c r="AO5" s="12"/>
      <c r="AP5" s="12"/>
      <c r="AQ5" s="35"/>
      <c r="AR5" s="12"/>
    </row>
    <row r="6" spans="1:44" ht="17.399999999999999" x14ac:dyDescent="0.35">
      <c r="A6" s="11" t="s">
        <v>12</v>
      </c>
      <c r="B6" s="10" t="s">
        <v>13</v>
      </c>
      <c r="C6" s="35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22"/>
      <c r="AI6" s="12"/>
      <c r="AJ6" s="12"/>
      <c r="AK6" s="12"/>
      <c r="AL6" s="12"/>
      <c r="AM6" s="12"/>
      <c r="AN6" s="12"/>
      <c r="AO6" s="12"/>
      <c r="AP6" s="12"/>
      <c r="AQ6" s="35"/>
      <c r="AR6" s="12"/>
    </row>
    <row r="7" spans="1:44" ht="52.2" customHeight="1" x14ac:dyDescent="0.3">
      <c r="A7" s="15" t="s">
        <v>14</v>
      </c>
      <c r="B7" s="16" t="s">
        <v>15</v>
      </c>
      <c r="C7" s="33" t="s">
        <v>16</v>
      </c>
      <c r="D7" s="31" t="s">
        <v>17</v>
      </c>
      <c r="E7" s="31" t="s">
        <v>18</v>
      </c>
      <c r="F7" s="31" t="s">
        <v>19</v>
      </c>
      <c r="G7" s="31" t="s">
        <v>20</v>
      </c>
      <c r="H7" s="31" t="s">
        <v>21</v>
      </c>
      <c r="I7" s="32" t="s">
        <v>22</v>
      </c>
      <c r="J7" s="32" t="s">
        <v>23</v>
      </c>
      <c r="K7" s="31" t="s">
        <v>24</v>
      </c>
      <c r="L7" s="31" t="s">
        <v>25</v>
      </c>
      <c r="M7" s="31" t="s">
        <v>26</v>
      </c>
      <c r="N7" s="31" t="s">
        <v>27</v>
      </c>
      <c r="O7" s="31" t="s">
        <v>28</v>
      </c>
      <c r="P7" s="32" t="s">
        <v>29</v>
      </c>
      <c r="Q7" s="32" t="s">
        <v>30</v>
      </c>
      <c r="R7" s="31" t="s">
        <v>31</v>
      </c>
      <c r="S7" s="31" t="s">
        <v>32</v>
      </c>
      <c r="T7" s="31" t="s">
        <v>33</v>
      </c>
      <c r="U7" s="31" t="s">
        <v>34</v>
      </c>
      <c r="V7" s="31" t="s">
        <v>35</v>
      </c>
      <c r="W7" s="32" t="s">
        <v>36</v>
      </c>
      <c r="X7" s="32" t="s">
        <v>37</v>
      </c>
      <c r="Y7" s="31" t="s">
        <v>38</v>
      </c>
      <c r="Z7" s="31" t="s">
        <v>39</v>
      </c>
      <c r="AA7" s="31" t="s">
        <v>40</v>
      </c>
      <c r="AB7" s="31" t="s">
        <v>41</v>
      </c>
      <c r="AC7" s="31" t="s">
        <v>42</v>
      </c>
      <c r="AD7" s="32" t="s">
        <v>43</v>
      </c>
      <c r="AE7" s="32" t="s">
        <v>44</v>
      </c>
      <c r="AF7" s="31" t="s">
        <v>45</v>
      </c>
      <c r="AG7" s="31" t="s">
        <v>46</v>
      </c>
      <c r="AH7" s="31" t="s">
        <v>47</v>
      </c>
      <c r="AI7" s="33" t="s">
        <v>48</v>
      </c>
      <c r="AJ7" s="31" t="s">
        <v>49</v>
      </c>
      <c r="AK7" s="31" t="s">
        <v>50</v>
      </c>
      <c r="AL7" s="31" t="s">
        <v>51</v>
      </c>
      <c r="AM7" s="31" t="s">
        <v>52</v>
      </c>
      <c r="AN7" s="31" t="s">
        <v>53</v>
      </c>
      <c r="AO7" s="31" t="s">
        <v>54</v>
      </c>
      <c r="AP7" s="31" t="s">
        <v>55</v>
      </c>
      <c r="AQ7" s="33" t="s">
        <v>56</v>
      </c>
      <c r="AR7" s="31" t="s">
        <v>57</v>
      </c>
    </row>
    <row r="8" spans="1:44" ht="17.399999999999999" customHeight="1" x14ac:dyDescent="0.3">
      <c r="A8" s="19" t="s">
        <v>58</v>
      </c>
      <c r="B8" s="19">
        <v>0.21</v>
      </c>
      <c r="C8" s="19">
        <v>2</v>
      </c>
      <c r="D8" s="19" t="s">
        <v>59</v>
      </c>
      <c r="E8" s="19" t="s">
        <v>59</v>
      </c>
      <c r="F8" s="19" t="s">
        <v>59</v>
      </c>
      <c r="G8" s="19" t="s">
        <v>59</v>
      </c>
      <c r="H8" s="19"/>
      <c r="I8" s="19"/>
      <c r="J8" s="19" t="s">
        <v>60</v>
      </c>
      <c r="K8" s="19" t="s">
        <v>60</v>
      </c>
      <c r="L8" s="19" t="s">
        <v>60</v>
      </c>
      <c r="M8" s="19" t="s">
        <v>60</v>
      </c>
      <c r="N8" s="19" t="s">
        <v>60</v>
      </c>
      <c r="O8" s="19"/>
      <c r="P8" s="19"/>
      <c r="Q8" s="19" t="s">
        <v>59</v>
      </c>
      <c r="R8" s="19" t="s">
        <v>59</v>
      </c>
      <c r="S8" s="19" t="s">
        <v>59</v>
      </c>
      <c r="T8" s="19" t="s">
        <v>59</v>
      </c>
      <c r="U8" s="19" t="s">
        <v>59</v>
      </c>
      <c r="V8" s="19"/>
      <c r="W8" s="19"/>
      <c r="X8" s="19" t="s">
        <v>60</v>
      </c>
      <c r="Y8" s="19" t="s">
        <v>60</v>
      </c>
      <c r="Z8" s="19" t="s">
        <v>60</v>
      </c>
      <c r="AA8" s="19" t="s">
        <v>60</v>
      </c>
      <c r="AB8" s="19" t="s">
        <v>60</v>
      </c>
      <c r="AC8" s="19"/>
      <c r="AD8" s="19"/>
      <c r="AE8" s="19" t="s">
        <v>59</v>
      </c>
      <c r="AF8" s="19" t="s">
        <v>59</v>
      </c>
      <c r="AG8" s="19" t="s">
        <v>59</v>
      </c>
      <c r="AH8" s="19"/>
      <c r="AI8" s="29">
        <f>COUNTA(D8:AH8)</f>
        <v>22</v>
      </c>
      <c r="AJ8" s="43"/>
      <c r="AK8" s="43"/>
      <c r="AL8" s="29">
        <f>+SUM(AI8:AK8)</f>
        <v>22</v>
      </c>
      <c r="AM8" s="43">
        <f>+AI8*$C$67</f>
        <v>383.22580645161344</v>
      </c>
      <c r="AN8" s="43"/>
      <c r="AO8" s="57"/>
      <c r="AP8" s="34">
        <v>100</v>
      </c>
      <c r="AQ8" s="41" t="s">
        <v>61</v>
      </c>
      <c r="AR8" s="58">
        <f>(AL8*AP8)</f>
        <v>2200</v>
      </c>
    </row>
    <row r="9" spans="1:44" ht="17.399999999999999" customHeight="1" x14ac:dyDescent="0.3">
      <c r="A9" s="19" t="s">
        <v>62</v>
      </c>
      <c r="B9" s="19">
        <v>0.21</v>
      </c>
      <c r="C9" s="19">
        <v>2</v>
      </c>
      <c r="D9" s="19" t="s">
        <v>59</v>
      </c>
      <c r="E9" s="19" t="s">
        <v>59</v>
      </c>
      <c r="F9" s="19" t="s">
        <v>59</v>
      </c>
      <c r="G9" s="19" t="s">
        <v>59</v>
      </c>
      <c r="H9" s="19"/>
      <c r="I9" s="19"/>
      <c r="J9" s="19" t="s">
        <v>60</v>
      </c>
      <c r="K9" s="19" t="s">
        <v>60</v>
      </c>
      <c r="L9" s="19" t="s">
        <v>60</v>
      </c>
      <c r="M9" s="19" t="s">
        <v>60</v>
      </c>
      <c r="N9" s="19" t="s">
        <v>60</v>
      </c>
      <c r="O9" s="19"/>
      <c r="P9" s="19"/>
      <c r="Q9" s="19" t="s">
        <v>59</v>
      </c>
      <c r="R9" s="19" t="s">
        <v>59</v>
      </c>
      <c r="S9" s="19" t="s">
        <v>59</v>
      </c>
      <c r="T9" s="19" t="s">
        <v>59</v>
      </c>
      <c r="U9" s="19" t="s">
        <v>59</v>
      </c>
      <c r="V9" s="19"/>
      <c r="W9" s="19"/>
      <c r="X9" s="19" t="s">
        <v>60</v>
      </c>
      <c r="Y9" s="19" t="s">
        <v>60</v>
      </c>
      <c r="Z9" s="19" t="s">
        <v>60</v>
      </c>
      <c r="AA9" s="19" t="s">
        <v>60</v>
      </c>
      <c r="AB9" s="19" t="s">
        <v>60</v>
      </c>
      <c r="AC9" s="19"/>
      <c r="AD9" s="19"/>
      <c r="AE9" s="19" t="s">
        <v>59</v>
      </c>
      <c r="AF9" s="19" t="s">
        <v>59</v>
      </c>
      <c r="AG9" s="19" t="s">
        <v>59</v>
      </c>
      <c r="AH9" s="19"/>
      <c r="AI9" s="29">
        <f t="shared" ref="AI9:AI59" si="0">COUNTA(D9:AH9)</f>
        <v>22</v>
      </c>
      <c r="AJ9" s="43"/>
      <c r="AK9" s="43"/>
      <c r="AL9" s="29">
        <f t="shared" ref="AL9:AL60" si="1">+SUM(AI9:AK9)</f>
        <v>22</v>
      </c>
      <c r="AM9" s="43">
        <f t="shared" ref="AM9:AM60" si="2">+AI9*$C$67</f>
        <v>383.22580645161344</v>
      </c>
      <c r="AN9" s="43"/>
      <c r="AO9" s="57"/>
      <c r="AP9" s="34">
        <v>100</v>
      </c>
      <c r="AQ9" s="41" t="s">
        <v>61</v>
      </c>
      <c r="AR9" s="58">
        <f t="shared" ref="AR9:AR59" si="3">(AL9*AP9)</f>
        <v>2200</v>
      </c>
    </row>
    <row r="10" spans="1:44" ht="17.399999999999999" customHeight="1" x14ac:dyDescent="0.3">
      <c r="A10" s="19" t="s">
        <v>63</v>
      </c>
      <c r="B10" s="19">
        <v>0.21</v>
      </c>
      <c r="C10" s="19">
        <v>2</v>
      </c>
      <c r="D10" s="19" t="s">
        <v>59</v>
      </c>
      <c r="E10" s="19" t="s">
        <v>59</v>
      </c>
      <c r="F10" s="19" t="s">
        <v>59</v>
      </c>
      <c r="G10" s="19" t="s">
        <v>59</v>
      </c>
      <c r="H10" s="19"/>
      <c r="I10" s="19"/>
      <c r="J10" s="19" t="s">
        <v>60</v>
      </c>
      <c r="K10" s="19" t="s">
        <v>60</v>
      </c>
      <c r="L10" s="19" t="s">
        <v>60</v>
      </c>
      <c r="M10" s="19" t="s">
        <v>60</v>
      </c>
      <c r="N10" s="19" t="s">
        <v>60</v>
      </c>
      <c r="O10" s="19"/>
      <c r="P10" s="19"/>
      <c r="Q10" s="19" t="s">
        <v>59</v>
      </c>
      <c r="R10" s="19" t="s">
        <v>59</v>
      </c>
      <c r="S10" s="19" t="s">
        <v>59</v>
      </c>
      <c r="T10" s="19" t="s">
        <v>59</v>
      </c>
      <c r="U10" s="19" t="s">
        <v>59</v>
      </c>
      <c r="V10" s="19"/>
      <c r="W10" s="19"/>
      <c r="X10" s="19" t="s">
        <v>60</v>
      </c>
      <c r="Y10" s="19" t="s">
        <v>60</v>
      </c>
      <c r="Z10" s="19" t="s">
        <v>60</v>
      </c>
      <c r="AA10" s="19" t="s">
        <v>60</v>
      </c>
      <c r="AB10" s="19" t="s">
        <v>60</v>
      </c>
      <c r="AC10" s="19"/>
      <c r="AD10" s="19"/>
      <c r="AE10" s="19" t="s">
        <v>59</v>
      </c>
      <c r="AF10" s="19" t="s">
        <v>59</v>
      </c>
      <c r="AG10" s="19" t="s">
        <v>59</v>
      </c>
      <c r="AH10" s="19"/>
      <c r="AI10" s="29">
        <f t="shared" si="0"/>
        <v>22</v>
      </c>
      <c r="AJ10" s="43"/>
      <c r="AK10" s="43"/>
      <c r="AL10" s="29">
        <f t="shared" si="1"/>
        <v>22</v>
      </c>
      <c r="AM10" s="43">
        <f t="shared" si="2"/>
        <v>383.22580645161344</v>
      </c>
      <c r="AN10" s="43"/>
      <c r="AO10" s="57"/>
      <c r="AP10" s="34">
        <v>100</v>
      </c>
      <c r="AQ10" s="41" t="s">
        <v>61</v>
      </c>
      <c r="AR10" s="58">
        <f t="shared" si="3"/>
        <v>2200</v>
      </c>
    </row>
    <row r="11" spans="1:44" ht="17.399999999999999" customHeight="1" x14ac:dyDescent="0.3">
      <c r="A11" s="19" t="s">
        <v>64</v>
      </c>
      <c r="B11" s="19">
        <v>0.21</v>
      </c>
      <c r="C11" s="19">
        <v>2</v>
      </c>
      <c r="D11" s="19" t="s">
        <v>59</v>
      </c>
      <c r="E11" s="19" t="s">
        <v>59</v>
      </c>
      <c r="F11" s="19" t="s">
        <v>59</v>
      </c>
      <c r="G11" s="19" t="s">
        <v>59</v>
      </c>
      <c r="H11" s="19"/>
      <c r="I11" s="19"/>
      <c r="J11" s="19" t="s">
        <v>60</v>
      </c>
      <c r="K11" s="19" t="s">
        <v>60</v>
      </c>
      <c r="L11" s="19" t="s">
        <v>60</v>
      </c>
      <c r="M11" s="19" t="s">
        <v>60</v>
      </c>
      <c r="N11" s="19" t="s">
        <v>60</v>
      </c>
      <c r="O11" s="19"/>
      <c r="P11" s="19"/>
      <c r="Q11" s="19" t="s">
        <v>59</v>
      </c>
      <c r="R11" s="19" t="s">
        <v>59</v>
      </c>
      <c r="S11" s="19" t="s">
        <v>59</v>
      </c>
      <c r="T11" s="19" t="s">
        <v>59</v>
      </c>
      <c r="U11" s="19" t="s">
        <v>59</v>
      </c>
      <c r="V11" s="19"/>
      <c r="W11" s="19"/>
      <c r="X11" s="19" t="s">
        <v>60</v>
      </c>
      <c r="Y11" s="19" t="s">
        <v>60</v>
      </c>
      <c r="Z11" s="19" t="s">
        <v>60</v>
      </c>
      <c r="AA11" s="19" t="s">
        <v>60</v>
      </c>
      <c r="AB11" s="19" t="s">
        <v>60</v>
      </c>
      <c r="AC11" s="19"/>
      <c r="AD11" s="19"/>
      <c r="AE11" s="19" t="s">
        <v>59</v>
      </c>
      <c r="AF11" s="19" t="s">
        <v>59</v>
      </c>
      <c r="AG11" s="19" t="s">
        <v>59</v>
      </c>
      <c r="AH11" s="19"/>
      <c r="AI11" s="29">
        <f>COUNTA(D11:AH11)</f>
        <v>22</v>
      </c>
      <c r="AJ11" s="43"/>
      <c r="AK11" s="43"/>
      <c r="AL11" s="29">
        <f t="shared" si="1"/>
        <v>22</v>
      </c>
      <c r="AM11" s="43">
        <f t="shared" si="2"/>
        <v>383.22580645161344</v>
      </c>
      <c r="AN11" s="43"/>
      <c r="AO11" s="57"/>
      <c r="AP11" s="34">
        <v>100</v>
      </c>
      <c r="AQ11" s="41" t="s">
        <v>61</v>
      </c>
      <c r="AR11" s="58">
        <f t="shared" si="3"/>
        <v>2200</v>
      </c>
    </row>
    <row r="12" spans="1:44" ht="17.399999999999999" customHeight="1" x14ac:dyDescent="0.3">
      <c r="A12" s="19" t="s">
        <v>65</v>
      </c>
      <c r="B12" s="19">
        <v>0.48</v>
      </c>
      <c r="C12" s="19">
        <v>2</v>
      </c>
      <c r="D12" s="19" t="s">
        <v>59</v>
      </c>
      <c r="E12" s="19" t="s">
        <v>59</v>
      </c>
      <c r="F12" s="19" t="s">
        <v>59</v>
      </c>
      <c r="G12" s="19" t="s">
        <v>59</v>
      </c>
      <c r="H12" s="19"/>
      <c r="I12" s="19"/>
      <c r="J12" s="19" t="s">
        <v>60</v>
      </c>
      <c r="K12" s="19" t="s">
        <v>60</v>
      </c>
      <c r="L12" s="19" t="s">
        <v>60</v>
      </c>
      <c r="M12" s="19" t="s">
        <v>60</v>
      </c>
      <c r="N12" s="19" t="s">
        <v>60</v>
      </c>
      <c r="O12" s="19"/>
      <c r="P12" s="19"/>
      <c r="Q12" s="19" t="s">
        <v>59</v>
      </c>
      <c r="R12" s="19" t="s">
        <v>59</v>
      </c>
      <c r="S12" s="19" t="s">
        <v>59</v>
      </c>
      <c r="T12" s="19" t="s">
        <v>59</v>
      </c>
      <c r="U12" s="19" t="s">
        <v>59</v>
      </c>
      <c r="V12" s="19"/>
      <c r="W12" s="19"/>
      <c r="X12" s="19" t="s">
        <v>60</v>
      </c>
      <c r="Y12" s="19" t="s">
        <v>60</v>
      </c>
      <c r="Z12" s="19" t="s">
        <v>60</v>
      </c>
      <c r="AA12" s="19" t="s">
        <v>60</v>
      </c>
      <c r="AB12" s="19" t="s">
        <v>60</v>
      </c>
      <c r="AC12" s="19"/>
      <c r="AD12" s="19"/>
      <c r="AE12" s="19" t="s">
        <v>59</v>
      </c>
      <c r="AF12" s="19" t="s">
        <v>59</v>
      </c>
      <c r="AG12" s="19" t="s">
        <v>59</v>
      </c>
      <c r="AH12" s="19"/>
      <c r="AI12" s="29">
        <f t="shared" si="0"/>
        <v>22</v>
      </c>
      <c r="AJ12" s="43"/>
      <c r="AK12" s="43"/>
      <c r="AL12" s="29">
        <f t="shared" si="1"/>
        <v>22</v>
      </c>
      <c r="AM12" s="43">
        <f t="shared" si="2"/>
        <v>383.22580645161344</v>
      </c>
      <c r="AN12" s="43"/>
      <c r="AO12" s="57"/>
      <c r="AP12" s="34">
        <v>100</v>
      </c>
      <c r="AQ12" s="41" t="s">
        <v>61</v>
      </c>
      <c r="AR12" s="58">
        <f t="shared" si="3"/>
        <v>2200</v>
      </c>
    </row>
    <row r="13" spans="1:44" ht="17.399999999999999" customHeight="1" x14ac:dyDescent="0.3">
      <c r="A13" s="19" t="s">
        <v>66</v>
      </c>
      <c r="B13" s="19">
        <v>0.48</v>
      </c>
      <c r="C13" s="19">
        <v>2</v>
      </c>
      <c r="D13" s="19" t="s">
        <v>59</v>
      </c>
      <c r="E13" s="19" t="s">
        <v>59</v>
      </c>
      <c r="F13" s="19" t="s">
        <v>59</v>
      </c>
      <c r="G13" s="19" t="s">
        <v>59</v>
      </c>
      <c r="H13" s="19"/>
      <c r="I13" s="19"/>
      <c r="J13" s="19" t="s">
        <v>60</v>
      </c>
      <c r="K13" s="19" t="s">
        <v>60</v>
      </c>
      <c r="L13" s="19" t="s">
        <v>60</v>
      </c>
      <c r="M13" s="19" t="s">
        <v>60</v>
      </c>
      <c r="N13" s="19" t="s">
        <v>60</v>
      </c>
      <c r="O13" s="19"/>
      <c r="P13" s="19"/>
      <c r="Q13" s="19" t="s">
        <v>59</v>
      </c>
      <c r="R13" s="19" t="s">
        <v>59</v>
      </c>
      <c r="S13" s="19" t="s">
        <v>59</v>
      </c>
      <c r="T13" s="19" t="s">
        <v>59</v>
      </c>
      <c r="U13" s="19" t="s">
        <v>59</v>
      </c>
      <c r="V13" s="19"/>
      <c r="W13" s="19"/>
      <c r="X13" s="19" t="s">
        <v>60</v>
      </c>
      <c r="Y13" s="19" t="s">
        <v>60</v>
      </c>
      <c r="Z13" s="19" t="s">
        <v>60</v>
      </c>
      <c r="AA13" s="19" t="s">
        <v>60</v>
      </c>
      <c r="AB13" s="19" t="s">
        <v>60</v>
      </c>
      <c r="AC13" s="19"/>
      <c r="AD13" s="19"/>
      <c r="AE13" s="19" t="s">
        <v>59</v>
      </c>
      <c r="AF13" s="19" t="s">
        <v>59</v>
      </c>
      <c r="AG13" s="19" t="s">
        <v>59</v>
      </c>
      <c r="AH13" s="19"/>
      <c r="AI13" s="29">
        <f t="shared" si="0"/>
        <v>22</v>
      </c>
      <c r="AJ13" s="43"/>
      <c r="AK13" s="43"/>
      <c r="AL13" s="29">
        <f t="shared" si="1"/>
        <v>22</v>
      </c>
      <c r="AM13" s="43">
        <f t="shared" si="2"/>
        <v>383.22580645161344</v>
      </c>
      <c r="AN13" s="43"/>
      <c r="AO13" s="57"/>
      <c r="AP13" s="34">
        <v>100</v>
      </c>
      <c r="AQ13" s="41" t="s">
        <v>61</v>
      </c>
      <c r="AR13" s="58">
        <f t="shared" si="3"/>
        <v>2200</v>
      </c>
    </row>
    <row r="14" spans="1:44" ht="17.399999999999999" customHeight="1" x14ac:dyDescent="0.3">
      <c r="A14" s="19" t="s">
        <v>67</v>
      </c>
      <c r="B14" s="19">
        <v>0.48</v>
      </c>
      <c r="C14" s="19">
        <v>2</v>
      </c>
      <c r="D14" s="19" t="s">
        <v>59</v>
      </c>
      <c r="E14" s="19" t="s">
        <v>59</v>
      </c>
      <c r="F14" s="19" t="s">
        <v>59</v>
      </c>
      <c r="G14" s="19" t="s">
        <v>59</v>
      </c>
      <c r="H14" s="19"/>
      <c r="I14" s="19"/>
      <c r="J14" s="19" t="s">
        <v>60</v>
      </c>
      <c r="K14" s="19" t="s">
        <v>60</v>
      </c>
      <c r="L14" s="19" t="s">
        <v>60</v>
      </c>
      <c r="M14" s="19" t="s">
        <v>60</v>
      </c>
      <c r="N14" s="19" t="s">
        <v>60</v>
      </c>
      <c r="O14" s="19"/>
      <c r="P14" s="19"/>
      <c r="Q14" s="19" t="s">
        <v>59</v>
      </c>
      <c r="R14" s="19" t="s">
        <v>59</v>
      </c>
      <c r="S14" s="19" t="s">
        <v>59</v>
      </c>
      <c r="T14" s="19" t="s">
        <v>59</v>
      </c>
      <c r="U14" s="19" t="s">
        <v>59</v>
      </c>
      <c r="V14" s="19"/>
      <c r="W14" s="19"/>
      <c r="X14" s="19" t="s">
        <v>60</v>
      </c>
      <c r="Y14" s="19" t="s">
        <v>60</v>
      </c>
      <c r="Z14" s="19" t="s">
        <v>60</v>
      </c>
      <c r="AA14" s="19" t="s">
        <v>60</v>
      </c>
      <c r="AB14" s="19" t="s">
        <v>60</v>
      </c>
      <c r="AC14" s="19"/>
      <c r="AD14" s="19"/>
      <c r="AE14" s="19" t="s">
        <v>59</v>
      </c>
      <c r="AF14" s="19" t="s">
        <v>59</v>
      </c>
      <c r="AG14" s="19" t="s">
        <v>59</v>
      </c>
      <c r="AH14" s="19"/>
      <c r="AI14" s="29">
        <f t="shared" si="0"/>
        <v>22</v>
      </c>
      <c r="AJ14" s="43"/>
      <c r="AK14" s="43"/>
      <c r="AL14" s="29">
        <f t="shared" si="1"/>
        <v>22</v>
      </c>
      <c r="AM14" s="43">
        <f t="shared" si="2"/>
        <v>383.22580645161344</v>
      </c>
      <c r="AN14" s="43"/>
      <c r="AO14" s="57"/>
      <c r="AP14" s="34">
        <v>100</v>
      </c>
      <c r="AQ14" s="41" t="s">
        <v>61</v>
      </c>
      <c r="AR14" s="58">
        <f t="shared" si="3"/>
        <v>2200</v>
      </c>
    </row>
    <row r="15" spans="1:44" ht="17.399999999999999" customHeight="1" x14ac:dyDescent="0.3">
      <c r="A15" s="19" t="s">
        <v>68</v>
      </c>
      <c r="B15" s="19">
        <v>0.48</v>
      </c>
      <c r="C15" s="19">
        <v>2</v>
      </c>
      <c r="D15" s="19" t="s">
        <v>59</v>
      </c>
      <c r="E15" s="19" t="s">
        <v>59</v>
      </c>
      <c r="F15" s="19" t="s">
        <v>59</v>
      </c>
      <c r="G15" s="19" t="s">
        <v>59</v>
      </c>
      <c r="H15" s="19"/>
      <c r="I15" s="19"/>
      <c r="J15" s="19" t="s">
        <v>60</v>
      </c>
      <c r="K15" s="19" t="s">
        <v>60</v>
      </c>
      <c r="L15" s="19" t="s">
        <v>60</v>
      </c>
      <c r="M15" s="19" t="s">
        <v>60</v>
      </c>
      <c r="N15" s="19" t="s">
        <v>60</v>
      </c>
      <c r="O15" s="19"/>
      <c r="P15" s="19"/>
      <c r="Q15" s="19" t="s">
        <v>59</v>
      </c>
      <c r="R15" s="19" t="s">
        <v>59</v>
      </c>
      <c r="S15" s="19" t="s">
        <v>59</v>
      </c>
      <c r="T15" s="19" t="s">
        <v>59</v>
      </c>
      <c r="U15" s="19" t="s">
        <v>59</v>
      </c>
      <c r="V15" s="19"/>
      <c r="W15" s="19"/>
      <c r="X15" s="19" t="s">
        <v>60</v>
      </c>
      <c r="Y15" s="19" t="s">
        <v>60</v>
      </c>
      <c r="Z15" s="19" t="s">
        <v>60</v>
      </c>
      <c r="AA15" s="19" t="s">
        <v>60</v>
      </c>
      <c r="AB15" s="19" t="s">
        <v>60</v>
      </c>
      <c r="AC15" s="19"/>
      <c r="AD15" s="19"/>
      <c r="AE15" s="19" t="s">
        <v>59</v>
      </c>
      <c r="AF15" s="19" t="s">
        <v>59</v>
      </c>
      <c r="AG15" s="19" t="s">
        <v>59</v>
      </c>
      <c r="AH15" s="19"/>
      <c r="AI15" s="29">
        <f t="shared" si="0"/>
        <v>22</v>
      </c>
      <c r="AJ15" s="43"/>
      <c r="AK15" s="43"/>
      <c r="AL15" s="29">
        <f t="shared" si="1"/>
        <v>22</v>
      </c>
      <c r="AM15" s="43">
        <f t="shared" si="2"/>
        <v>383.22580645161344</v>
      </c>
      <c r="AN15" s="43"/>
      <c r="AO15" s="57"/>
      <c r="AP15" s="34">
        <v>100</v>
      </c>
      <c r="AQ15" s="41" t="s">
        <v>61</v>
      </c>
      <c r="AR15" s="58">
        <f t="shared" si="3"/>
        <v>2200</v>
      </c>
    </row>
    <row r="16" spans="1:44" ht="17.399999999999999" customHeight="1" x14ac:dyDescent="0.3">
      <c r="A16" s="19" t="s">
        <v>69</v>
      </c>
      <c r="B16" s="19">
        <v>0.28000000000000003</v>
      </c>
      <c r="C16" s="19">
        <v>2</v>
      </c>
      <c r="D16" s="19" t="s">
        <v>59</v>
      </c>
      <c r="E16" s="19" t="s">
        <v>59</v>
      </c>
      <c r="F16" s="19" t="s">
        <v>59</v>
      </c>
      <c r="G16" s="19" t="s">
        <v>59</v>
      </c>
      <c r="H16" s="19"/>
      <c r="I16" s="19"/>
      <c r="J16" s="19" t="s">
        <v>60</v>
      </c>
      <c r="K16" s="19" t="s">
        <v>60</v>
      </c>
      <c r="L16" s="19" t="s">
        <v>60</v>
      </c>
      <c r="M16" s="19" t="s">
        <v>60</v>
      </c>
      <c r="N16" s="19" t="s">
        <v>60</v>
      </c>
      <c r="O16" s="19"/>
      <c r="P16" s="19"/>
      <c r="Q16" s="19" t="s">
        <v>59</v>
      </c>
      <c r="R16" s="19" t="s">
        <v>59</v>
      </c>
      <c r="S16" s="19" t="s">
        <v>59</v>
      </c>
      <c r="T16" s="19" t="s">
        <v>59</v>
      </c>
      <c r="U16" s="19" t="s">
        <v>59</v>
      </c>
      <c r="V16" s="19"/>
      <c r="W16" s="19"/>
      <c r="X16" s="19" t="s">
        <v>60</v>
      </c>
      <c r="Y16" s="19" t="s">
        <v>60</v>
      </c>
      <c r="Z16" s="19" t="s">
        <v>60</v>
      </c>
      <c r="AA16" s="19" t="s">
        <v>60</v>
      </c>
      <c r="AB16" s="19" t="s">
        <v>60</v>
      </c>
      <c r="AC16" s="19"/>
      <c r="AD16" s="19"/>
      <c r="AE16" s="19" t="s">
        <v>59</v>
      </c>
      <c r="AF16" s="19" t="s">
        <v>59</v>
      </c>
      <c r="AG16" s="19" t="s">
        <v>59</v>
      </c>
      <c r="AH16" s="19"/>
      <c r="AI16" s="29">
        <f t="shared" si="0"/>
        <v>22</v>
      </c>
      <c r="AJ16" s="43"/>
      <c r="AK16" s="43"/>
      <c r="AL16" s="29">
        <f t="shared" si="1"/>
        <v>22</v>
      </c>
      <c r="AM16" s="43">
        <f t="shared" si="2"/>
        <v>383.22580645161344</v>
      </c>
      <c r="AN16" s="43"/>
      <c r="AO16" s="57"/>
      <c r="AP16" s="34">
        <v>100</v>
      </c>
      <c r="AQ16" s="41" t="s">
        <v>61</v>
      </c>
      <c r="AR16" s="58">
        <f t="shared" si="3"/>
        <v>2200</v>
      </c>
    </row>
    <row r="17" spans="1:44" ht="17.399999999999999" customHeight="1" x14ac:dyDescent="0.3">
      <c r="A17" s="19" t="s">
        <v>70</v>
      </c>
      <c r="B17" s="19">
        <v>0.28000000000000003</v>
      </c>
      <c r="C17" s="19">
        <v>2</v>
      </c>
      <c r="D17" s="19" t="s">
        <v>59</v>
      </c>
      <c r="E17" s="19" t="s">
        <v>59</v>
      </c>
      <c r="F17" s="19" t="s">
        <v>59</v>
      </c>
      <c r="G17" s="19" t="s">
        <v>59</v>
      </c>
      <c r="H17" s="19"/>
      <c r="I17" s="19"/>
      <c r="J17" s="19" t="s">
        <v>60</v>
      </c>
      <c r="K17" s="19" t="s">
        <v>60</v>
      </c>
      <c r="L17" s="19" t="s">
        <v>60</v>
      </c>
      <c r="M17" s="19" t="s">
        <v>60</v>
      </c>
      <c r="N17" s="19" t="s">
        <v>60</v>
      </c>
      <c r="O17" s="19"/>
      <c r="P17" s="19"/>
      <c r="Q17" s="19" t="s">
        <v>59</v>
      </c>
      <c r="R17" s="19" t="s">
        <v>59</v>
      </c>
      <c r="S17" s="19" t="s">
        <v>59</v>
      </c>
      <c r="T17" s="19" t="s">
        <v>59</v>
      </c>
      <c r="U17" s="19" t="s">
        <v>59</v>
      </c>
      <c r="V17" s="19"/>
      <c r="W17" s="19"/>
      <c r="X17" s="19" t="s">
        <v>60</v>
      </c>
      <c r="Y17" s="19" t="s">
        <v>60</v>
      </c>
      <c r="Z17" s="19" t="s">
        <v>60</v>
      </c>
      <c r="AA17" s="19" t="s">
        <v>60</v>
      </c>
      <c r="AB17" s="19" t="s">
        <v>60</v>
      </c>
      <c r="AC17" s="19"/>
      <c r="AD17" s="19"/>
      <c r="AE17" s="19" t="s">
        <v>59</v>
      </c>
      <c r="AF17" s="19" t="s">
        <v>59</v>
      </c>
      <c r="AG17" s="19" t="s">
        <v>59</v>
      </c>
      <c r="AH17" s="19"/>
      <c r="AI17" s="29">
        <f t="shared" si="0"/>
        <v>22</v>
      </c>
      <c r="AJ17" s="43"/>
      <c r="AK17" s="43"/>
      <c r="AL17" s="29">
        <f t="shared" si="1"/>
        <v>22</v>
      </c>
      <c r="AM17" s="43">
        <f t="shared" si="2"/>
        <v>383.22580645161344</v>
      </c>
      <c r="AN17" s="43"/>
      <c r="AO17" s="57"/>
      <c r="AP17" s="34">
        <v>100</v>
      </c>
      <c r="AQ17" s="41" t="s">
        <v>61</v>
      </c>
      <c r="AR17" s="58">
        <f t="shared" si="3"/>
        <v>2200</v>
      </c>
    </row>
    <row r="18" spans="1:44" ht="17.399999999999999" customHeight="1" x14ac:dyDescent="0.3">
      <c r="A18" s="19" t="s">
        <v>71</v>
      </c>
      <c r="B18" s="19">
        <v>0.28000000000000003</v>
      </c>
      <c r="C18" s="19">
        <v>2</v>
      </c>
      <c r="D18" s="19" t="s">
        <v>59</v>
      </c>
      <c r="E18" s="19" t="s">
        <v>59</v>
      </c>
      <c r="F18" s="19" t="s">
        <v>59</v>
      </c>
      <c r="G18" s="19" t="s">
        <v>59</v>
      </c>
      <c r="H18" s="19"/>
      <c r="I18" s="19"/>
      <c r="J18" s="19" t="s">
        <v>60</v>
      </c>
      <c r="K18" s="19" t="s">
        <v>60</v>
      </c>
      <c r="L18" s="19" t="s">
        <v>60</v>
      </c>
      <c r="M18" s="19" t="s">
        <v>60</v>
      </c>
      <c r="N18" s="19" t="s">
        <v>60</v>
      </c>
      <c r="O18" s="19"/>
      <c r="P18" s="19"/>
      <c r="Q18" s="19" t="s">
        <v>59</v>
      </c>
      <c r="R18" s="19" t="s">
        <v>59</v>
      </c>
      <c r="S18" s="19" t="s">
        <v>59</v>
      </c>
      <c r="T18" s="19" t="s">
        <v>59</v>
      </c>
      <c r="U18" s="19" t="s">
        <v>59</v>
      </c>
      <c r="V18" s="19"/>
      <c r="W18" s="19"/>
      <c r="X18" s="19" t="s">
        <v>60</v>
      </c>
      <c r="Y18" s="19" t="s">
        <v>60</v>
      </c>
      <c r="Z18" s="19" t="s">
        <v>60</v>
      </c>
      <c r="AA18" s="19" t="s">
        <v>60</v>
      </c>
      <c r="AB18" s="19" t="s">
        <v>60</v>
      </c>
      <c r="AC18" s="19"/>
      <c r="AD18" s="19"/>
      <c r="AE18" s="19" t="s">
        <v>59</v>
      </c>
      <c r="AF18" s="19" t="s">
        <v>59</v>
      </c>
      <c r="AG18" s="19" t="s">
        <v>59</v>
      </c>
      <c r="AH18" s="19"/>
      <c r="AI18" s="29">
        <f t="shared" si="0"/>
        <v>22</v>
      </c>
      <c r="AJ18" s="43"/>
      <c r="AK18" s="43"/>
      <c r="AL18" s="29">
        <f t="shared" si="1"/>
        <v>22</v>
      </c>
      <c r="AM18" s="43">
        <f t="shared" si="2"/>
        <v>383.22580645161344</v>
      </c>
      <c r="AN18" s="43"/>
      <c r="AO18" s="57"/>
      <c r="AP18" s="34">
        <v>100</v>
      </c>
      <c r="AQ18" s="41" t="s">
        <v>61</v>
      </c>
      <c r="AR18" s="58">
        <f t="shared" si="3"/>
        <v>2200</v>
      </c>
    </row>
    <row r="19" spans="1:44" ht="17.399999999999999" customHeight="1" x14ac:dyDescent="0.3">
      <c r="A19" s="19" t="s">
        <v>72</v>
      </c>
      <c r="B19" s="19">
        <v>0.28000000000000003</v>
      </c>
      <c r="C19" s="19">
        <v>2</v>
      </c>
      <c r="D19" s="19" t="s">
        <v>59</v>
      </c>
      <c r="E19" s="19" t="s">
        <v>59</v>
      </c>
      <c r="F19" s="19" t="s">
        <v>59</v>
      </c>
      <c r="G19" s="19" t="s">
        <v>59</v>
      </c>
      <c r="H19" s="19"/>
      <c r="I19" s="19"/>
      <c r="J19" s="19" t="s">
        <v>60</v>
      </c>
      <c r="K19" s="19" t="s">
        <v>60</v>
      </c>
      <c r="L19" s="19" t="s">
        <v>60</v>
      </c>
      <c r="M19" s="19" t="s">
        <v>60</v>
      </c>
      <c r="N19" s="19" t="s">
        <v>60</v>
      </c>
      <c r="O19" s="19"/>
      <c r="P19" s="19"/>
      <c r="Q19" s="19" t="s">
        <v>59</v>
      </c>
      <c r="R19" s="19" t="s">
        <v>59</v>
      </c>
      <c r="S19" s="19" t="s">
        <v>59</v>
      </c>
      <c r="T19" s="19" t="s">
        <v>59</v>
      </c>
      <c r="U19" s="19" t="s">
        <v>59</v>
      </c>
      <c r="V19" s="19"/>
      <c r="W19" s="19"/>
      <c r="X19" s="19" t="s">
        <v>60</v>
      </c>
      <c r="Y19" s="19" t="s">
        <v>60</v>
      </c>
      <c r="Z19" s="19" t="s">
        <v>60</v>
      </c>
      <c r="AA19" s="19" t="s">
        <v>60</v>
      </c>
      <c r="AB19" s="19" t="s">
        <v>60</v>
      </c>
      <c r="AC19" s="19"/>
      <c r="AD19" s="19"/>
      <c r="AE19" s="19" t="s">
        <v>59</v>
      </c>
      <c r="AF19" s="19" t="s">
        <v>59</v>
      </c>
      <c r="AG19" s="19" t="s">
        <v>59</v>
      </c>
      <c r="AH19" s="19"/>
      <c r="AI19" s="29">
        <f t="shared" si="0"/>
        <v>22</v>
      </c>
      <c r="AJ19" s="43"/>
      <c r="AK19" s="43"/>
      <c r="AL19" s="29">
        <f t="shared" si="1"/>
        <v>22</v>
      </c>
      <c r="AM19" s="43">
        <f t="shared" si="2"/>
        <v>383.22580645161344</v>
      </c>
      <c r="AN19" s="43"/>
      <c r="AO19" s="57"/>
      <c r="AP19" s="34">
        <v>100</v>
      </c>
      <c r="AQ19" s="41" t="s">
        <v>61</v>
      </c>
      <c r="AR19" s="58">
        <f t="shared" si="3"/>
        <v>2200</v>
      </c>
    </row>
    <row r="20" spans="1:44" ht="17.399999999999999" customHeight="1" x14ac:dyDescent="0.3">
      <c r="A20" s="19" t="s">
        <v>73</v>
      </c>
      <c r="B20" s="19">
        <v>0.28999999999999998</v>
      </c>
      <c r="C20" s="19">
        <v>2</v>
      </c>
      <c r="D20" s="19" t="s">
        <v>59</v>
      </c>
      <c r="E20" s="19" t="s">
        <v>59</v>
      </c>
      <c r="F20" s="19" t="s">
        <v>59</v>
      </c>
      <c r="G20" s="19" t="s">
        <v>59</v>
      </c>
      <c r="H20" s="19"/>
      <c r="I20" s="19"/>
      <c r="J20" s="19" t="s">
        <v>60</v>
      </c>
      <c r="K20" s="19" t="s">
        <v>60</v>
      </c>
      <c r="L20" s="19" t="s">
        <v>60</v>
      </c>
      <c r="M20" s="19" t="s">
        <v>60</v>
      </c>
      <c r="N20" s="19" t="s">
        <v>60</v>
      </c>
      <c r="O20" s="19"/>
      <c r="P20" s="19"/>
      <c r="Q20" s="19" t="s">
        <v>59</v>
      </c>
      <c r="R20" s="19" t="s">
        <v>59</v>
      </c>
      <c r="S20" s="19" t="s">
        <v>59</v>
      </c>
      <c r="T20" s="19" t="s">
        <v>59</v>
      </c>
      <c r="U20" s="19" t="s">
        <v>59</v>
      </c>
      <c r="V20" s="19"/>
      <c r="W20" s="19"/>
      <c r="X20" s="19" t="s">
        <v>60</v>
      </c>
      <c r="Y20" s="19" t="s">
        <v>60</v>
      </c>
      <c r="Z20" s="19" t="s">
        <v>60</v>
      </c>
      <c r="AA20" s="19" t="s">
        <v>60</v>
      </c>
      <c r="AB20" s="19" t="s">
        <v>60</v>
      </c>
      <c r="AC20" s="19"/>
      <c r="AD20" s="19"/>
      <c r="AE20" s="19" t="s">
        <v>59</v>
      </c>
      <c r="AF20" s="19" t="s">
        <v>59</v>
      </c>
      <c r="AG20" s="19" t="s">
        <v>59</v>
      </c>
      <c r="AH20" s="19"/>
      <c r="AI20" s="29">
        <f t="shared" si="0"/>
        <v>22</v>
      </c>
      <c r="AJ20" s="43"/>
      <c r="AK20" s="43"/>
      <c r="AL20" s="29">
        <f t="shared" si="1"/>
        <v>22</v>
      </c>
      <c r="AM20" s="43">
        <f t="shared" si="2"/>
        <v>383.22580645161344</v>
      </c>
      <c r="AN20" s="43"/>
      <c r="AO20" s="57"/>
      <c r="AP20" s="34">
        <v>100</v>
      </c>
      <c r="AQ20" s="41" t="s">
        <v>61</v>
      </c>
      <c r="AR20" s="58">
        <f t="shared" si="3"/>
        <v>2200</v>
      </c>
    </row>
    <row r="21" spans="1:44" ht="17.399999999999999" customHeight="1" x14ac:dyDescent="0.3">
      <c r="A21" s="20" t="s">
        <v>74</v>
      </c>
      <c r="B21" s="17">
        <v>0.28999999999999998</v>
      </c>
      <c r="C21" s="40">
        <v>2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>
        <f t="shared" si="0"/>
        <v>0</v>
      </c>
      <c r="AJ21" s="43"/>
      <c r="AK21" s="43"/>
      <c r="AL21" s="29">
        <f t="shared" si="1"/>
        <v>0</v>
      </c>
      <c r="AM21" s="43">
        <f t="shared" si="2"/>
        <v>0</v>
      </c>
      <c r="AN21" s="43"/>
      <c r="AO21" s="57"/>
      <c r="AP21" s="34">
        <v>80</v>
      </c>
      <c r="AQ21" s="41" t="s">
        <v>61</v>
      </c>
      <c r="AR21" s="58">
        <f t="shared" si="3"/>
        <v>0</v>
      </c>
    </row>
    <row r="22" spans="1:44" ht="17.399999999999999" customHeight="1" x14ac:dyDescent="0.3">
      <c r="A22" s="20" t="s">
        <v>75</v>
      </c>
      <c r="B22" s="17">
        <v>0.28999999999999998</v>
      </c>
      <c r="C22" s="40">
        <v>2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>
        <f t="shared" si="0"/>
        <v>0</v>
      </c>
      <c r="AJ22" s="43"/>
      <c r="AK22" s="43"/>
      <c r="AL22" s="29">
        <f t="shared" si="1"/>
        <v>0</v>
      </c>
      <c r="AM22" s="43">
        <f t="shared" si="2"/>
        <v>0</v>
      </c>
      <c r="AN22" s="43"/>
      <c r="AO22" s="57"/>
      <c r="AP22" s="34">
        <v>80</v>
      </c>
      <c r="AQ22" s="41" t="s">
        <v>61</v>
      </c>
      <c r="AR22" s="58">
        <f t="shared" si="3"/>
        <v>0</v>
      </c>
    </row>
    <row r="23" spans="1:44" ht="17.399999999999999" customHeight="1" x14ac:dyDescent="0.3">
      <c r="A23" s="20" t="s">
        <v>76</v>
      </c>
      <c r="B23" s="17">
        <v>0.28999999999999998</v>
      </c>
      <c r="C23" s="40">
        <v>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>
        <f t="shared" si="0"/>
        <v>0</v>
      </c>
      <c r="AJ23" s="43"/>
      <c r="AK23" s="43"/>
      <c r="AL23" s="29">
        <f t="shared" si="1"/>
        <v>0</v>
      </c>
      <c r="AM23" s="43">
        <f t="shared" si="2"/>
        <v>0</v>
      </c>
      <c r="AN23" s="43"/>
      <c r="AO23" s="57"/>
      <c r="AP23" s="34">
        <v>80</v>
      </c>
      <c r="AQ23" s="41" t="s">
        <v>61</v>
      </c>
      <c r="AR23" s="58">
        <f t="shared" si="3"/>
        <v>0</v>
      </c>
    </row>
    <row r="24" spans="1:44" ht="17.399999999999999" customHeight="1" x14ac:dyDescent="0.3">
      <c r="A24" s="20" t="s">
        <v>77</v>
      </c>
      <c r="B24" s="17">
        <v>0.22</v>
      </c>
      <c r="C24" s="40">
        <v>2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>
        <f t="shared" si="0"/>
        <v>0</v>
      </c>
      <c r="AJ24" s="43"/>
      <c r="AK24" s="43"/>
      <c r="AL24" s="29">
        <f t="shared" si="1"/>
        <v>0</v>
      </c>
      <c r="AM24" s="43">
        <f t="shared" si="2"/>
        <v>0</v>
      </c>
      <c r="AN24" s="43"/>
      <c r="AO24" s="57"/>
      <c r="AP24" s="34">
        <v>80</v>
      </c>
      <c r="AQ24" s="41" t="s">
        <v>61</v>
      </c>
      <c r="AR24" s="58">
        <f t="shared" si="3"/>
        <v>0</v>
      </c>
    </row>
    <row r="25" spans="1:44" ht="17.399999999999999" customHeight="1" x14ac:dyDescent="0.3">
      <c r="A25" s="20" t="s">
        <v>78</v>
      </c>
      <c r="B25" s="17">
        <v>0.22</v>
      </c>
      <c r="C25" s="40">
        <v>2</v>
      </c>
      <c r="D25" s="29" t="s">
        <v>59</v>
      </c>
      <c r="E25" s="29" t="s">
        <v>59</v>
      </c>
      <c r="F25" s="29" t="s">
        <v>59</v>
      </c>
      <c r="G25" s="29" t="s">
        <v>59</v>
      </c>
      <c r="H25" s="29"/>
      <c r="I25" s="29"/>
      <c r="J25" s="29" t="s">
        <v>60</v>
      </c>
      <c r="K25" s="29" t="s">
        <v>60</v>
      </c>
      <c r="L25" s="29" t="s">
        <v>60</v>
      </c>
      <c r="M25" s="29" t="s">
        <v>60</v>
      </c>
      <c r="N25" s="29" t="s">
        <v>60</v>
      </c>
      <c r="O25" s="29"/>
      <c r="P25" s="29"/>
      <c r="Q25" s="29" t="s">
        <v>59</v>
      </c>
      <c r="R25" s="29" t="s">
        <v>59</v>
      </c>
      <c r="S25" s="29" t="s">
        <v>59</v>
      </c>
      <c r="T25" s="29" t="s">
        <v>59</v>
      </c>
      <c r="U25" s="29" t="s">
        <v>59</v>
      </c>
      <c r="V25" s="29"/>
      <c r="W25" s="29"/>
      <c r="X25" s="29" t="s">
        <v>60</v>
      </c>
      <c r="Y25" s="29" t="s">
        <v>60</v>
      </c>
      <c r="Z25" s="29" t="s">
        <v>60</v>
      </c>
      <c r="AA25" s="29" t="s">
        <v>60</v>
      </c>
      <c r="AB25" s="29" t="s">
        <v>60</v>
      </c>
      <c r="AC25" s="29"/>
      <c r="AD25" s="29"/>
      <c r="AE25" s="29" t="s">
        <v>59</v>
      </c>
      <c r="AF25" s="29" t="s">
        <v>59</v>
      </c>
      <c r="AG25" s="29" t="s">
        <v>59</v>
      </c>
      <c r="AH25" s="29"/>
      <c r="AI25" s="29">
        <f t="shared" si="0"/>
        <v>22</v>
      </c>
      <c r="AJ25" s="43"/>
      <c r="AK25" s="43"/>
      <c r="AL25" s="29">
        <f t="shared" si="1"/>
        <v>22</v>
      </c>
      <c r="AM25" s="43">
        <f t="shared" si="2"/>
        <v>383.22580645161344</v>
      </c>
      <c r="AN25" s="43"/>
      <c r="AO25" s="57"/>
      <c r="AP25" s="34">
        <v>80</v>
      </c>
      <c r="AQ25" s="41" t="s">
        <v>61</v>
      </c>
      <c r="AR25" s="58">
        <f t="shared" si="3"/>
        <v>1760</v>
      </c>
    </row>
    <row r="26" spans="1:44" ht="17.399999999999999" customHeight="1" x14ac:dyDescent="0.3">
      <c r="A26" s="20" t="s">
        <v>79</v>
      </c>
      <c r="B26" s="17">
        <v>0.22</v>
      </c>
      <c r="C26" s="40">
        <v>2</v>
      </c>
      <c r="D26" s="29" t="s">
        <v>59</v>
      </c>
      <c r="E26" s="29" t="s">
        <v>59</v>
      </c>
      <c r="F26" s="29" t="s">
        <v>59</v>
      </c>
      <c r="G26" s="29" t="s">
        <v>59</v>
      </c>
      <c r="H26" s="29"/>
      <c r="I26" s="29"/>
      <c r="J26" s="29" t="s">
        <v>60</v>
      </c>
      <c r="K26" s="29" t="s">
        <v>60</v>
      </c>
      <c r="L26" s="29" t="s">
        <v>60</v>
      </c>
      <c r="M26" s="29" t="s">
        <v>60</v>
      </c>
      <c r="N26" s="29" t="s">
        <v>60</v>
      </c>
      <c r="O26" s="29"/>
      <c r="P26" s="29"/>
      <c r="Q26" s="29" t="s">
        <v>59</v>
      </c>
      <c r="R26" s="29" t="s">
        <v>59</v>
      </c>
      <c r="S26" s="29" t="s">
        <v>59</v>
      </c>
      <c r="T26" s="29" t="s">
        <v>59</v>
      </c>
      <c r="U26" s="29" t="s">
        <v>59</v>
      </c>
      <c r="V26" s="29"/>
      <c r="W26" s="29"/>
      <c r="X26" s="29" t="s">
        <v>60</v>
      </c>
      <c r="Y26" s="29" t="s">
        <v>60</v>
      </c>
      <c r="Z26" s="29" t="s">
        <v>60</v>
      </c>
      <c r="AA26" s="29" t="s">
        <v>60</v>
      </c>
      <c r="AB26" s="29" t="s">
        <v>60</v>
      </c>
      <c r="AC26" s="29"/>
      <c r="AD26" s="29"/>
      <c r="AE26" s="29" t="s">
        <v>59</v>
      </c>
      <c r="AF26" s="29" t="s">
        <v>59</v>
      </c>
      <c r="AG26" s="29" t="s">
        <v>59</v>
      </c>
      <c r="AH26" s="29"/>
      <c r="AI26" s="29">
        <f t="shared" si="0"/>
        <v>22</v>
      </c>
      <c r="AJ26" s="43"/>
      <c r="AK26" s="43"/>
      <c r="AL26" s="29">
        <f t="shared" si="1"/>
        <v>22</v>
      </c>
      <c r="AM26" s="43">
        <f t="shared" si="2"/>
        <v>383.22580645161344</v>
      </c>
      <c r="AN26" s="43"/>
      <c r="AO26" s="57"/>
      <c r="AP26" s="34">
        <v>80</v>
      </c>
      <c r="AQ26" s="41" t="s">
        <v>61</v>
      </c>
      <c r="AR26" s="58">
        <f t="shared" si="3"/>
        <v>1760</v>
      </c>
    </row>
    <row r="27" spans="1:44" ht="17.399999999999999" customHeight="1" x14ac:dyDescent="0.3">
      <c r="A27" s="20" t="s">
        <v>80</v>
      </c>
      <c r="B27" s="17">
        <v>0.22</v>
      </c>
      <c r="C27" s="40">
        <v>2</v>
      </c>
      <c r="D27" s="29" t="s">
        <v>59</v>
      </c>
      <c r="E27" s="29" t="s">
        <v>59</v>
      </c>
      <c r="F27" s="29" t="s">
        <v>59</v>
      </c>
      <c r="G27" s="29" t="s">
        <v>59</v>
      </c>
      <c r="H27" s="29"/>
      <c r="I27" s="29"/>
      <c r="J27" s="29" t="s">
        <v>60</v>
      </c>
      <c r="K27" s="29" t="s">
        <v>60</v>
      </c>
      <c r="L27" s="29" t="s">
        <v>60</v>
      </c>
      <c r="M27" s="29" t="s">
        <v>60</v>
      </c>
      <c r="N27" s="29" t="s">
        <v>60</v>
      </c>
      <c r="O27" s="29"/>
      <c r="P27" s="29"/>
      <c r="Q27" s="29" t="s">
        <v>59</v>
      </c>
      <c r="R27" s="29" t="s">
        <v>59</v>
      </c>
      <c r="S27" s="29" t="s">
        <v>59</v>
      </c>
      <c r="T27" s="29" t="s">
        <v>59</v>
      </c>
      <c r="U27" s="29" t="s">
        <v>59</v>
      </c>
      <c r="V27" s="29"/>
      <c r="W27" s="29"/>
      <c r="X27" s="29" t="s">
        <v>60</v>
      </c>
      <c r="Y27" s="29" t="s">
        <v>60</v>
      </c>
      <c r="Z27" s="29" t="s">
        <v>60</v>
      </c>
      <c r="AA27" s="29" t="s">
        <v>60</v>
      </c>
      <c r="AB27" s="29" t="s">
        <v>60</v>
      </c>
      <c r="AC27" s="29"/>
      <c r="AD27" s="29"/>
      <c r="AE27" s="29" t="s">
        <v>59</v>
      </c>
      <c r="AF27" s="29" t="s">
        <v>59</v>
      </c>
      <c r="AG27" s="29" t="s">
        <v>59</v>
      </c>
      <c r="AH27" s="29"/>
      <c r="AI27" s="29">
        <f t="shared" si="0"/>
        <v>22</v>
      </c>
      <c r="AJ27" s="43"/>
      <c r="AK27" s="43"/>
      <c r="AL27" s="29">
        <f t="shared" si="1"/>
        <v>22</v>
      </c>
      <c r="AM27" s="43">
        <f t="shared" si="2"/>
        <v>383.22580645161344</v>
      </c>
      <c r="AN27" s="43"/>
      <c r="AO27" s="57"/>
      <c r="AP27" s="34">
        <v>80</v>
      </c>
      <c r="AQ27" s="41" t="s">
        <v>61</v>
      </c>
      <c r="AR27" s="58">
        <f t="shared" si="3"/>
        <v>1760</v>
      </c>
    </row>
    <row r="28" spans="1:44" ht="17.399999999999999" customHeight="1" x14ac:dyDescent="0.3">
      <c r="A28" s="20" t="s">
        <v>81</v>
      </c>
      <c r="B28" s="17">
        <v>0.14000000000000001</v>
      </c>
      <c r="C28" s="40">
        <v>2</v>
      </c>
      <c r="D28" s="29" t="s">
        <v>59</v>
      </c>
      <c r="E28" s="29" t="s">
        <v>59</v>
      </c>
      <c r="F28" s="29" t="s">
        <v>59</v>
      </c>
      <c r="G28" s="29" t="s">
        <v>59</v>
      </c>
      <c r="H28" s="29"/>
      <c r="I28" s="29"/>
      <c r="J28" s="29" t="s">
        <v>60</v>
      </c>
      <c r="K28" s="29" t="s">
        <v>60</v>
      </c>
      <c r="L28" s="29" t="s">
        <v>60</v>
      </c>
      <c r="M28" s="29" t="s">
        <v>60</v>
      </c>
      <c r="N28" s="29" t="s">
        <v>60</v>
      </c>
      <c r="O28" s="29"/>
      <c r="P28" s="29"/>
      <c r="Q28" s="29" t="s">
        <v>59</v>
      </c>
      <c r="R28" s="29" t="s">
        <v>59</v>
      </c>
      <c r="S28" s="29" t="s">
        <v>59</v>
      </c>
      <c r="T28" s="29" t="s">
        <v>59</v>
      </c>
      <c r="U28" s="29" t="s">
        <v>59</v>
      </c>
      <c r="V28" s="29"/>
      <c r="W28" s="29"/>
      <c r="X28" s="29" t="s">
        <v>60</v>
      </c>
      <c r="Y28" s="29" t="s">
        <v>60</v>
      </c>
      <c r="Z28" s="29" t="s">
        <v>60</v>
      </c>
      <c r="AA28" s="29" t="s">
        <v>60</v>
      </c>
      <c r="AB28" s="29" t="s">
        <v>60</v>
      </c>
      <c r="AC28" s="29"/>
      <c r="AD28" s="29"/>
      <c r="AE28" s="29" t="s">
        <v>59</v>
      </c>
      <c r="AF28" s="29" t="s">
        <v>59</v>
      </c>
      <c r="AG28" s="29" t="s">
        <v>59</v>
      </c>
      <c r="AH28" s="29"/>
      <c r="AI28" s="29">
        <f t="shared" si="0"/>
        <v>22</v>
      </c>
      <c r="AJ28" s="43"/>
      <c r="AK28" s="43"/>
      <c r="AL28" s="29">
        <f t="shared" si="1"/>
        <v>22</v>
      </c>
      <c r="AM28" s="43">
        <f t="shared" si="2"/>
        <v>383.22580645161344</v>
      </c>
      <c r="AN28" s="43"/>
      <c r="AO28" s="57"/>
      <c r="AP28" s="34">
        <v>80</v>
      </c>
      <c r="AQ28" s="41" t="s">
        <v>61</v>
      </c>
      <c r="AR28" s="58">
        <f t="shared" si="3"/>
        <v>1760</v>
      </c>
    </row>
    <row r="29" spans="1:44" ht="17.399999999999999" customHeight="1" x14ac:dyDescent="0.3">
      <c r="A29" s="20" t="s">
        <v>82</v>
      </c>
      <c r="B29" s="17">
        <v>0.14000000000000001</v>
      </c>
      <c r="C29" s="40">
        <v>2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>
        <f t="shared" si="0"/>
        <v>0</v>
      </c>
      <c r="AJ29" s="43"/>
      <c r="AK29" s="43"/>
      <c r="AL29" s="29">
        <f t="shared" si="1"/>
        <v>0</v>
      </c>
      <c r="AM29" s="43">
        <f t="shared" si="2"/>
        <v>0</v>
      </c>
      <c r="AN29" s="43"/>
      <c r="AO29" s="57"/>
      <c r="AP29" s="34">
        <v>80</v>
      </c>
      <c r="AQ29" s="41" t="s">
        <v>61</v>
      </c>
      <c r="AR29" s="58">
        <f t="shared" si="3"/>
        <v>0</v>
      </c>
    </row>
    <row r="30" spans="1:44" ht="17.399999999999999" customHeight="1" x14ac:dyDescent="0.3">
      <c r="A30" s="20" t="s">
        <v>83</v>
      </c>
      <c r="B30" s="17">
        <v>0.14000000000000001</v>
      </c>
      <c r="C30" s="40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>
        <f t="shared" si="0"/>
        <v>0</v>
      </c>
      <c r="AJ30" s="43"/>
      <c r="AK30" s="43"/>
      <c r="AL30" s="29">
        <f t="shared" si="1"/>
        <v>0</v>
      </c>
      <c r="AM30" s="43">
        <f t="shared" si="2"/>
        <v>0</v>
      </c>
      <c r="AN30" s="43"/>
      <c r="AO30" s="57"/>
      <c r="AP30" s="34">
        <v>80</v>
      </c>
      <c r="AQ30" s="41" t="s">
        <v>61</v>
      </c>
      <c r="AR30" s="58">
        <f t="shared" si="3"/>
        <v>0</v>
      </c>
    </row>
    <row r="31" spans="1:44" ht="17.399999999999999" customHeight="1" x14ac:dyDescent="0.3">
      <c r="A31" s="20" t="s">
        <v>84</v>
      </c>
      <c r="B31" s="17">
        <v>0.14000000000000001</v>
      </c>
      <c r="C31" s="40">
        <v>2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>
        <f t="shared" si="0"/>
        <v>0</v>
      </c>
      <c r="AJ31" s="43"/>
      <c r="AK31" s="43"/>
      <c r="AL31" s="29">
        <f t="shared" si="1"/>
        <v>0</v>
      </c>
      <c r="AM31" s="43">
        <f t="shared" si="2"/>
        <v>0</v>
      </c>
      <c r="AN31" s="43"/>
      <c r="AO31" s="57"/>
      <c r="AP31" s="34">
        <v>80</v>
      </c>
      <c r="AQ31" s="41" t="s">
        <v>61</v>
      </c>
      <c r="AR31" s="58">
        <f t="shared" si="3"/>
        <v>0</v>
      </c>
    </row>
    <row r="32" spans="1:44" ht="17.399999999999999" customHeight="1" x14ac:dyDescent="0.3">
      <c r="A32" s="20" t="s">
        <v>85</v>
      </c>
      <c r="B32" s="17">
        <v>0.25</v>
      </c>
      <c r="C32" s="40">
        <v>2</v>
      </c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>
        <f t="shared" si="0"/>
        <v>0</v>
      </c>
      <c r="AJ32" s="43"/>
      <c r="AK32" s="43"/>
      <c r="AL32" s="29">
        <f t="shared" si="1"/>
        <v>0</v>
      </c>
      <c r="AM32" s="43">
        <f t="shared" si="2"/>
        <v>0</v>
      </c>
      <c r="AN32" s="43"/>
      <c r="AO32" s="57"/>
      <c r="AP32" s="34">
        <v>80</v>
      </c>
      <c r="AQ32" s="41" t="s">
        <v>61</v>
      </c>
      <c r="AR32" s="58">
        <f t="shared" si="3"/>
        <v>0</v>
      </c>
    </row>
    <row r="33" spans="1:44" ht="17.399999999999999" customHeight="1" x14ac:dyDescent="0.3">
      <c r="A33" s="20" t="s">
        <v>86</v>
      </c>
      <c r="B33" s="17">
        <v>0.25</v>
      </c>
      <c r="C33" s="40">
        <v>2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>
        <f t="shared" si="0"/>
        <v>0</v>
      </c>
      <c r="AJ33" s="43"/>
      <c r="AK33" s="43"/>
      <c r="AL33" s="29">
        <f t="shared" si="1"/>
        <v>0</v>
      </c>
      <c r="AM33" s="43">
        <f t="shared" si="2"/>
        <v>0</v>
      </c>
      <c r="AN33" s="43"/>
      <c r="AO33" s="57"/>
      <c r="AP33" s="34">
        <v>80</v>
      </c>
      <c r="AQ33" s="41" t="s">
        <v>61</v>
      </c>
      <c r="AR33" s="58">
        <f t="shared" si="3"/>
        <v>0</v>
      </c>
    </row>
    <row r="34" spans="1:44" ht="17.399999999999999" customHeight="1" x14ac:dyDescent="0.3">
      <c r="A34" s="20" t="s">
        <v>87</v>
      </c>
      <c r="B34" s="17">
        <v>0.25</v>
      </c>
      <c r="C34" s="40">
        <v>2</v>
      </c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>
        <f t="shared" si="0"/>
        <v>0</v>
      </c>
      <c r="AJ34" s="43"/>
      <c r="AK34" s="43"/>
      <c r="AL34" s="29">
        <f t="shared" si="1"/>
        <v>0</v>
      </c>
      <c r="AM34" s="43">
        <f t="shared" si="2"/>
        <v>0</v>
      </c>
      <c r="AN34" s="43"/>
      <c r="AO34" s="57"/>
      <c r="AP34" s="34">
        <v>80</v>
      </c>
      <c r="AQ34" s="41" t="s">
        <v>61</v>
      </c>
      <c r="AR34" s="58">
        <f t="shared" si="3"/>
        <v>0</v>
      </c>
    </row>
    <row r="35" spans="1:44" ht="17.399999999999999" customHeight="1" x14ac:dyDescent="0.3">
      <c r="A35" s="20" t="s">
        <v>88</v>
      </c>
      <c r="B35" s="17">
        <v>0.25</v>
      </c>
      <c r="C35" s="40">
        <v>2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>
        <f t="shared" si="0"/>
        <v>0</v>
      </c>
      <c r="AJ35" s="43"/>
      <c r="AK35" s="43"/>
      <c r="AL35" s="29">
        <f t="shared" si="1"/>
        <v>0</v>
      </c>
      <c r="AM35" s="43">
        <f t="shared" si="2"/>
        <v>0</v>
      </c>
      <c r="AN35" s="43"/>
      <c r="AO35" s="57"/>
      <c r="AP35" s="34">
        <v>80</v>
      </c>
      <c r="AQ35" s="41" t="s">
        <v>61</v>
      </c>
      <c r="AR35" s="58">
        <f t="shared" si="3"/>
        <v>0</v>
      </c>
    </row>
    <row r="36" spans="1:44" ht="17.399999999999999" customHeight="1" x14ac:dyDescent="0.3">
      <c r="A36" s="20" t="s">
        <v>89</v>
      </c>
      <c r="B36" s="17">
        <v>0.24</v>
      </c>
      <c r="C36" s="40">
        <v>2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>
        <f t="shared" si="0"/>
        <v>0</v>
      </c>
      <c r="AJ36" s="43"/>
      <c r="AK36" s="43"/>
      <c r="AL36" s="29">
        <f t="shared" si="1"/>
        <v>0</v>
      </c>
      <c r="AM36" s="43">
        <f t="shared" si="2"/>
        <v>0</v>
      </c>
      <c r="AN36" s="43"/>
      <c r="AO36" s="57"/>
      <c r="AP36" s="34">
        <v>80</v>
      </c>
      <c r="AQ36" s="41" t="s">
        <v>61</v>
      </c>
      <c r="AR36" s="58">
        <f t="shared" si="3"/>
        <v>0</v>
      </c>
    </row>
    <row r="37" spans="1:44" ht="17.399999999999999" customHeight="1" x14ac:dyDescent="0.3">
      <c r="A37" s="20" t="s">
        <v>90</v>
      </c>
      <c r="B37" s="17">
        <v>0.24</v>
      </c>
      <c r="C37" s="40">
        <v>2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>
        <f t="shared" si="0"/>
        <v>0</v>
      </c>
      <c r="AJ37" s="43"/>
      <c r="AK37" s="43"/>
      <c r="AL37" s="29">
        <f t="shared" si="1"/>
        <v>0</v>
      </c>
      <c r="AM37" s="43">
        <f t="shared" si="2"/>
        <v>0</v>
      </c>
      <c r="AN37" s="43"/>
      <c r="AO37" s="57"/>
      <c r="AP37" s="34">
        <v>80</v>
      </c>
      <c r="AQ37" s="41" t="s">
        <v>61</v>
      </c>
      <c r="AR37" s="58">
        <f t="shared" si="3"/>
        <v>0</v>
      </c>
    </row>
    <row r="38" spans="1:44" ht="17.399999999999999" customHeight="1" x14ac:dyDescent="0.3">
      <c r="A38" s="20" t="s">
        <v>91</v>
      </c>
      <c r="B38" s="17">
        <v>0.24</v>
      </c>
      <c r="C38" s="40">
        <v>2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>
        <f t="shared" si="0"/>
        <v>0</v>
      </c>
      <c r="AJ38" s="43"/>
      <c r="AK38" s="43"/>
      <c r="AL38" s="29">
        <f t="shared" si="1"/>
        <v>0</v>
      </c>
      <c r="AM38" s="43">
        <f t="shared" si="2"/>
        <v>0</v>
      </c>
      <c r="AN38" s="43"/>
      <c r="AO38" s="57"/>
      <c r="AP38" s="34">
        <v>80</v>
      </c>
      <c r="AQ38" s="41" t="s">
        <v>61</v>
      </c>
      <c r="AR38" s="58">
        <f t="shared" si="3"/>
        <v>0</v>
      </c>
    </row>
    <row r="39" spans="1:44" ht="17.399999999999999" customHeight="1" x14ac:dyDescent="0.3">
      <c r="A39" s="20" t="s">
        <v>92</v>
      </c>
      <c r="B39" s="17">
        <v>0.24</v>
      </c>
      <c r="C39" s="40">
        <v>2</v>
      </c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>
        <f t="shared" si="0"/>
        <v>0</v>
      </c>
      <c r="AJ39" s="43"/>
      <c r="AK39" s="43"/>
      <c r="AL39" s="29">
        <f t="shared" si="1"/>
        <v>0</v>
      </c>
      <c r="AM39" s="43">
        <f t="shared" si="2"/>
        <v>0</v>
      </c>
      <c r="AN39" s="43"/>
      <c r="AO39" s="57"/>
      <c r="AP39" s="34">
        <v>80</v>
      </c>
      <c r="AQ39" s="41" t="s">
        <v>61</v>
      </c>
      <c r="AR39" s="58">
        <f t="shared" si="3"/>
        <v>0</v>
      </c>
    </row>
    <row r="40" spans="1:44" ht="17.399999999999999" customHeight="1" x14ac:dyDescent="0.3">
      <c r="A40" s="20" t="s">
        <v>93</v>
      </c>
      <c r="B40" s="17">
        <v>0.24</v>
      </c>
      <c r="C40" s="40">
        <v>2</v>
      </c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>
        <f t="shared" si="0"/>
        <v>0</v>
      </c>
      <c r="AJ40" s="43"/>
      <c r="AK40" s="43"/>
      <c r="AL40" s="29">
        <f t="shared" si="1"/>
        <v>0</v>
      </c>
      <c r="AM40" s="43">
        <f t="shared" si="2"/>
        <v>0</v>
      </c>
      <c r="AN40" s="43"/>
      <c r="AO40" s="57"/>
      <c r="AP40" s="34">
        <v>80</v>
      </c>
      <c r="AQ40" s="41" t="s">
        <v>61</v>
      </c>
      <c r="AR40" s="58">
        <f t="shared" si="3"/>
        <v>0</v>
      </c>
    </row>
    <row r="41" spans="1:44" ht="17.399999999999999" customHeight="1" x14ac:dyDescent="0.3">
      <c r="A41" s="20" t="s">
        <v>94</v>
      </c>
      <c r="B41" s="17">
        <v>0.24</v>
      </c>
      <c r="C41" s="40">
        <v>2</v>
      </c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>
        <f t="shared" si="0"/>
        <v>0</v>
      </c>
      <c r="AJ41" s="43"/>
      <c r="AK41" s="43"/>
      <c r="AL41" s="29">
        <f t="shared" si="1"/>
        <v>0</v>
      </c>
      <c r="AM41" s="43">
        <f t="shared" si="2"/>
        <v>0</v>
      </c>
      <c r="AN41" s="43"/>
      <c r="AO41" s="57"/>
      <c r="AP41" s="34">
        <v>80</v>
      </c>
      <c r="AQ41" s="41" t="s">
        <v>61</v>
      </c>
      <c r="AR41" s="58">
        <f t="shared" si="3"/>
        <v>0</v>
      </c>
    </row>
    <row r="42" spans="1:44" ht="17.399999999999999" customHeight="1" x14ac:dyDescent="0.3">
      <c r="A42" s="20" t="s">
        <v>95</v>
      </c>
      <c r="B42" s="17">
        <v>0.24</v>
      </c>
      <c r="C42" s="40">
        <v>2</v>
      </c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>
        <f t="shared" si="0"/>
        <v>0</v>
      </c>
      <c r="AJ42" s="43"/>
      <c r="AK42" s="43"/>
      <c r="AL42" s="29">
        <f t="shared" si="1"/>
        <v>0</v>
      </c>
      <c r="AM42" s="43">
        <f t="shared" si="2"/>
        <v>0</v>
      </c>
      <c r="AN42" s="43"/>
      <c r="AO42" s="57"/>
      <c r="AP42" s="34">
        <v>80</v>
      </c>
      <c r="AQ42" s="41" t="s">
        <v>61</v>
      </c>
      <c r="AR42" s="58">
        <f t="shared" si="3"/>
        <v>0</v>
      </c>
    </row>
    <row r="43" spans="1:44" ht="17.399999999999999" customHeight="1" x14ac:dyDescent="0.3">
      <c r="A43" s="20" t="s">
        <v>96</v>
      </c>
      <c r="B43" s="17">
        <v>0.24</v>
      </c>
      <c r="C43" s="40">
        <v>2</v>
      </c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>
        <f t="shared" si="0"/>
        <v>0</v>
      </c>
      <c r="AJ43" s="43"/>
      <c r="AK43" s="43"/>
      <c r="AL43" s="29">
        <f t="shared" si="1"/>
        <v>0</v>
      </c>
      <c r="AM43" s="43">
        <f t="shared" si="2"/>
        <v>0</v>
      </c>
      <c r="AN43" s="43"/>
      <c r="AO43" s="57"/>
      <c r="AP43" s="34">
        <v>80</v>
      </c>
      <c r="AQ43" s="41" t="s">
        <v>61</v>
      </c>
      <c r="AR43" s="58">
        <f t="shared" si="3"/>
        <v>0</v>
      </c>
    </row>
    <row r="44" spans="1:44" ht="17.399999999999999" customHeight="1" x14ac:dyDescent="0.3">
      <c r="A44" s="20" t="s">
        <v>97</v>
      </c>
      <c r="B44" s="17">
        <v>0.22</v>
      </c>
      <c r="C44" s="40">
        <v>2</v>
      </c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>
        <f t="shared" si="0"/>
        <v>0</v>
      </c>
      <c r="AJ44" s="43"/>
      <c r="AK44" s="43"/>
      <c r="AL44" s="29">
        <f t="shared" si="1"/>
        <v>0</v>
      </c>
      <c r="AM44" s="43">
        <f t="shared" si="2"/>
        <v>0</v>
      </c>
      <c r="AN44" s="43"/>
      <c r="AO44" s="57"/>
      <c r="AP44" s="34">
        <v>80</v>
      </c>
      <c r="AQ44" s="41" t="s">
        <v>61</v>
      </c>
      <c r="AR44" s="58">
        <f t="shared" si="3"/>
        <v>0</v>
      </c>
    </row>
    <row r="45" spans="1:44" ht="17.399999999999999" customHeight="1" x14ac:dyDescent="0.3">
      <c r="A45" s="20" t="s">
        <v>98</v>
      </c>
      <c r="B45" s="17">
        <v>0.22</v>
      </c>
      <c r="C45" s="40">
        <v>2</v>
      </c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>
        <f t="shared" si="0"/>
        <v>0</v>
      </c>
      <c r="AJ45" s="43"/>
      <c r="AK45" s="43"/>
      <c r="AL45" s="29">
        <f t="shared" si="1"/>
        <v>0</v>
      </c>
      <c r="AM45" s="43">
        <f t="shared" si="2"/>
        <v>0</v>
      </c>
      <c r="AN45" s="43"/>
      <c r="AO45" s="57"/>
      <c r="AP45" s="34">
        <v>80</v>
      </c>
      <c r="AQ45" s="41" t="s">
        <v>61</v>
      </c>
      <c r="AR45" s="58">
        <f t="shared" si="3"/>
        <v>0</v>
      </c>
    </row>
    <row r="46" spans="1:44" ht="17.399999999999999" customHeight="1" x14ac:dyDescent="0.3">
      <c r="A46" s="20" t="s">
        <v>99</v>
      </c>
      <c r="B46" s="17">
        <v>0.22</v>
      </c>
      <c r="C46" s="40">
        <v>2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>
        <f t="shared" si="0"/>
        <v>0</v>
      </c>
      <c r="AJ46" s="43"/>
      <c r="AK46" s="43"/>
      <c r="AL46" s="29">
        <f t="shared" si="1"/>
        <v>0</v>
      </c>
      <c r="AM46" s="43">
        <f t="shared" si="2"/>
        <v>0</v>
      </c>
      <c r="AN46" s="43"/>
      <c r="AO46" s="57"/>
      <c r="AP46" s="34">
        <v>80</v>
      </c>
      <c r="AQ46" s="41" t="s">
        <v>61</v>
      </c>
      <c r="AR46" s="58">
        <f t="shared" si="3"/>
        <v>0</v>
      </c>
    </row>
    <row r="47" spans="1:44" ht="17.399999999999999" customHeight="1" x14ac:dyDescent="0.3">
      <c r="A47" s="20" t="s">
        <v>100</v>
      </c>
      <c r="B47" s="17">
        <v>0.22</v>
      </c>
      <c r="C47" s="40">
        <v>2</v>
      </c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>
        <f t="shared" si="0"/>
        <v>0</v>
      </c>
      <c r="AJ47" s="43"/>
      <c r="AK47" s="43"/>
      <c r="AL47" s="29">
        <f t="shared" si="1"/>
        <v>0</v>
      </c>
      <c r="AM47" s="43">
        <f t="shared" si="2"/>
        <v>0</v>
      </c>
      <c r="AN47" s="43"/>
      <c r="AO47" s="57"/>
      <c r="AP47" s="34">
        <v>80</v>
      </c>
      <c r="AQ47" s="41" t="s">
        <v>61</v>
      </c>
      <c r="AR47" s="58">
        <f t="shared" si="3"/>
        <v>0</v>
      </c>
    </row>
    <row r="48" spans="1:44" ht="17.399999999999999" customHeight="1" x14ac:dyDescent="0.3">
      <c r="A48" s="19" t="s">
        <v>101</v>
      </c>
      <c r="B48" s="18">
        <v>0.2</v>
      </c>
      <c r="C48" s="39">
        <v>2</v>
      </c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9">
        <f t="shared" si="0"/>
        <v>0</v>
      </c>
      <c r="AJ48" s="43"/>
      <c r="AK48" s="43"/>
      <c r="AL48" s="29">
        <f t="shared" si="1"/>
        <v>0</v>
      </c>
      <c r="AM48" s="43">
        <f t="shared" si="2"/>
        <v>0</v>
      </c>
      <c r="AN48" s="43"/>
      <c r="AO48" s="57"/>
      <c r="AP48" s="34">
        <v>100</v>
      </c>
      <c r="AQ48" s="41" t="s">
        <v>61</v>
      </c>
      <c r="AR48" s="58">
        <f t="shared" si="3"/>
        <v>0</v>
      </c>
    </row>
    <row r="49" spans="1:45" ht="17.399999999999999" customHeight="1" x14ac:dyDescent="0.3">
      <c r="A49" s="19" t="s">
        <v>102</v>
      </c>
      <c r="B49" s="18">
        <v>0.2</v>
      </c>
      <c r="C49" s="39">
        <v>2</v>
      </c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9">
        <f t="shared" si="0"/>
        <v>0</v>
      </c>
      <c r="AJ49" s="43"/>
      <c r="AK49" s="43"/>
      <c r="AL49" s="29">
        <f t="shared" si="1"/>
        <v>0</v>
      </c>
      <c r="AM49" s="43">
        <f t="shared" si="2"/>
        <v>0</v>
      </c>
      <c r="AN49" s="43"/>
      <c r="AO49" s="57"/>
      <c r="AP49" s="34">
        <v>100</v>
      </c>
      <c r="AQ49" s="41" t="s">
        <v>61</v>
      </c>
      <c r="AR49" s="58">
        <f t="shared" si="3"/>
        <v>0</v>
      </c>
    </row>
    <row r="50" spans="1:45" ht="17.399999999999999" customHeight="1" x14ac:dyDescent="0.3">
      <c r="A50" s="19" t="s">
        <v>103</v>
      </c>
      <c r="B50" s="18">
        <v>0.2</v>
      </c>
      <c r="C50" s="39">
        <v>2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9">
        <f t="shared" si="0"/>
        <v>0</v>
      </c>
      <c r="AJ50" s="43"/>
      <c r="AK50" s="43"/>
      <c r="AL50" s="29">
        <f t="shared" si="1"/>
        <v>0</v>
      </c>
      <c r="AM50" s="43">
        <f t="shared" si="2"/>
        <v>0</v>
      </c>
      <c r="AN50" s="43"/>
      <c r="AO50" s="57"/>
      <c r="AP50" s="34">
        <v>100</v>
      </c>
      <c r="AQ50" s="41" t="s">
        <v>61</v>
      </c>
      <c r="AR50" s="58">
        <f t="shared" si="3"/>
        <v>0</v>
      </c>
    </row>
    <row r="51" spans="1:45" ht="17.399999999999999" customHeight="1" x14ac:dyDescent="0.3">
      <c r="A51" s="19" t="s">
        <v>104</v>
      </c>
      <c r="B51" s="18">
        <v>0.2</v>
      </c>
      <c r="C51" s="39">
        <v>2</v>
      </c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9">
        <f t="shared" si="0"/>
        <v>0</v>
      </c>
      <c r="AJ51" s="43"/>
      <c r="AK51" s="43"/>
      <c r="AL51" s="29">
        <f t="shared" si="1"/>
        <v>0</v>
      </c>
      <c r="AM51" s="43">
        <f t="shared" si="2"/>
        <v>0</v>
      </c>
      <c r="AN51" s="43"/>
      <c r="AO51" s="57"/>
      <c r="AP51" s="34">
        <v>100</v>
      </c>
      <c r="AQ51" s="41" t="s">
        <v>61</v>
      </c>
      <c r="AR51" s="58">
        <f t="shared" si="3"/>
        <v>0</v>
      </c>
    </row>
    <row r="52" spans="1:45" ht="17.399999999999999" customHeight="1" x14ac:dyDescent="0.3">
      <c r="A52" s="19" t="s">
        <v>105</v>
      </c>
      <c r="B52" s="18">
        <v>0.1</v>
      </c>
      <c r="C52" s="39">
        <v>2</v>
      </c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9">
        <f t="shared" si="0"/>
        <v>0</v>
      </c>
      <c r="AJ52" s="43"/>
      <c r="AK52" s="43"/>
      <c r="AL52" s="29">
        <f t="shared" si="1"/>
        <v>0</v>
      </c>
      <c r="AM52" s="43">
        <f t="shared" si="2"/>
        <v>0</v>
      </c>
      <c r="AN52" s="43"/>
      <c r="AO52" s="57"/>
      <c r="AP52" s="34">
        <v>100</v>
      </c>
      <c r="AQ52" s="41" t="s">
        <v>61</v>
      </c>
      <c r="AR52" s="58">
        <f t="shared" si="3"/>
        <v>0</v>
      </c>
    </row>
    <row r="53" spans="1:45" ht="17.399999999999999" customHeight="1" x14ac:dyDescent="0.3">
      <c r="A53" s="19" t="s">
        <v>106</v>
      </c>
      <c r="B53" s="18">
        <v>0.1</v>
      </c>
      <c r="C53" s="39">
        <v>2</v>
      </c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9">
        <f t="shared" si="0"/>
        <v>0</v>
      </c>
      <c r="AJ53" s="43"/>
      <c r="AK53" s="43"/>
      <c r="AL53" s="29">
        <f t="shared" si="1"/>
        <v>0</v>
      </c>
      <c r="AM53" s="43">
        <f t="shared" si="2"/>
        <v>0</v>
      </c>
      <c r="AN53" s="43"/>
      <c r="AO53" s="57"/>
      <c r="AP53" s="34">
        <v>100</v>
      </c>
      <c r="AQ53" s="41" t="s">
        <v>61</v>
      </c>
      <c r="AR53" s="58">
        <f t="shared" si="3"/>
        <v>0</v>
      </c>
    </row>
    <row r="54" spans="1:45" ht="17.399999999999999" customHeight="1" x14ac:dyDescent="0.3">
      <c r="A54" s="19" t="s">
        <v>107</v>
      </c>
      <c r="B54" s="18">
        <v>0.1</v>
      </c>
      <c r="C54" s="39">
        <v>2</v>
      </c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9">
        <f t="shared" si="0"/>
        <v>0</v>
      </c>
      <c r="AJ54" s="43"/>
      <c r="AK54" s="43"/>
      <c r="AL54" s="29">
        <f t="shared" si="1"/>
        <v>0</v>
      </c>
      <c r="AM54" s="43">
        <f t="shared" si="2"/>
        <v>0</v>
      </c>
      <c r="AN54" s="43"/>
      <c r="AO54" s="57"/>
      <c r="AP54" s="34">
        <v>100</v>
      </c>
      <c r="AQ54" s="41" t="s">
        <v>61</v>
      </c>
      <c r="AR54" s="58">
        <f t="shared" si="3"/>
        <v>0</v>
      </c>
    </row>
    <row r="55" spans="1:45" ht="17.399999999999999" customHeight="1" x14ac:dyDescent="0.3">
      <c r="A55" s="19" t="s">
        <v>108</v>
      </c>
      <c r="B55" s="18">
        <v>0.1</v>
      </c>
      <c r="C55" s="39">
        <v>2</v>
      </c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9">
        <f t="shared" si="0"/>
        <v>0</v>
      </c>
      <c r="AJ55" s="43"/>
      <c r="AK55" s="43"/>
      <c r="AL55" s="29">
        <f t="shared" si="1"/>
        <v>0</v>
      </c>
      <c r="AM55" s="43">
        <f t="shared" si="2"/>
        <v>0</v>
      </c>
      <c r="AN55" s="43"/>
      <c r="AO55" s="57"/>
      <c r="AP55" s="34">
        <v>100</v>
      </c>
      <c r="AQ55" s="41" t="s">
        <v>61</v>
      </c>
      <c r="AR55" s="58">
        <f t="shared" si="3"/>
        <v>0</v>
      </c>
    </row>
    <row r="56" spans="1:45" ht="17.399999999999999" customHeight="1" x14ac:dyDescent="0.3">
      <c r="A56" s="19" t="s">
        <v>109</v>
      </c>
      <c r="B56" s="18">
        <v>0.16</v>
      </c>
      <c r="C56" s="39">
        <v>2</v>
      </c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9">
        <f t="shared" si="0"/>
        <v>0</v>
      </c>
      <c r="AJ56" s="43"/>
      <c r="AK56" s="43"/>
      <c r="AL56" s="29">
        <f t="shared" si="1"/>
        <v>0</v>
      </c>
      <c r="AM56" s="43">
        <f t="shared" si="2"/>
        <v>0</v>
      </c>
      <c r="AN56" s="43"/>
      <c r="AO56" s="57"/>
      <c r="AP56" s="34">
        <v>100</v>
      </c>
      <c r="AQ56" s="41" t="s">
        <v>61</v>
      </c>
      <c r="AR56" s="58">
        <f t="shared" si="3"/>
        <v>0</v>
      </c>
    </row>
    <row r="57" spans="1:45" ht="17.399999999999999" customHeight="1" x14ac:dyDescent="0.3">
      <c r="A57" s="19" t="s">
        <v>110</v>
      </c>
      <c r="B57" s="18">
        <v>0.16</v>
      </c>
      <c r="C57" s="39">
        <v>2</v>
      </c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9">
        <f t="shared" si="0"/>
        <v>0</v>
      </c>
      <c r="AJ57" s="43"/>
      <c r="AK57" s="43"/>
      <c r="AL57" s="29">
        <f t="shared" si="1"/>
        <v>0</v>
      </c>
      <c r="AM57" s="43">
        <f t="shared" si="2"/>
        <v>0</v>
      </c>
      <c r="AN57" s="43"/>
      <c r="AO57" s="57"/>
      <c r="AP57" s="34">
        <v>100</v>
      </c>
      <c r="AQ57" s="41" t="s">
        <v>61</v>
      </c>
      <c r="AR57" s="58">
        <f t="shared" si="3"/>
        <v>0</v>
      </c>
    </row>
    <row r="58" spans="1:45" ht="17.399999999999999" customHeight="1" x14ac:dyDescent="0.3">
      <c r="A58" s="19" t="s">
        <v>111</v>
      </c>
      <c r="B58" s="18">
        <v>0.16</v>
      </c>
      <c r="C58" s="39">
        <v>2</v>
      </c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9">
        <f t="shared" si="0"/>
        <v>0</v>
      </c>
      <c r="AJ58" s="43"/>
      <c r="AK58" s="43"/>
      <c r="AL58" s="29">
        <f t="shared" si="1"/>
        <v>0</v>
      </c>
      <c r="AM58" s="43">
        <f t="shared" si="2"/>
        <v>0</v>
      </c>
      <c r="AN58" s="43"/>
      <c r="AO58" s="57"/>
      <c r="AP58" s="34">
        <v>100</v>
      </c>
      <c r="AQ58" s="41" t="s">
        <v>61</v>
      </c>
      <c r="AR58" s="58">
        <f t="shared" si="3"/>
        <v>0</v>
      </c>
    </row>
    <row r="59" spans="1:45" ht="17.399999999999999" customHeight="1" x14ac:dyDescent="0.3">
      <c r="A59" s="21" t="s">
        <v>112</v>
      </c>
      <c r="B59" s="18">
        <v>0.16</v>
      </c>
      <c r="C59" s="39">
        <v>2</v>
      </c>
      <c r="D59" s="28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29">
        <f t="shared" si="0"/>
        <v>0</v>
      </c>
      <c r="AJ59" s="59"/>
      <c r="AK59" s="59"/>
      <c r="AL59" s="29">
        <f t="shared" si="1"/>
        <v>0</v>
      </c>
      <c r="AM59" s="43">
        <f t="shared" si="2"/>
        <v>0</v>
      </c>
      <c r="AN59" s="59"/>
      <c r="AO59" s="60"/>
      <c r="AP59" s="34">
        <v>100</v>
      </c>
      <c r="AQ59" s="42" t="s">
        <v>61</v>
      </c>
      <c r="AR59" s="58">
        <f t="shared" si="3"/>
        <v>0</v>
      </c>
    </row>
    <row r="60" spans="1:45" ht="17.399999999999999" customHeight="1" x14ac:dyDescent="0.3">
      <c r="A60" s="61"/>
      <c r="B60" s="35"/>
      <c r="C60" s="52"/>
      <c r="D60" s="15">
        <f t="shared" ref="D60:AG60" si="4">COUNTA(C8:C59)</f>
        <v>52</v>
      </c>
      <c r="E60" s="15">
        <f t="shared" si="4"/>
        <v>17</v>
      </c>
      <c r="F60" s="15">
        <f t="shared" si="4"/>
        <v>17</v>
      </c>
      <c r="G60" s="15">
        <f t="shared" si="4"/>
        <v>17</v>
      </c>
      <c r="H60" s="15">
        <f t="shared" si="4"/>
        <v>17</v>
      </c>
      <c r="I60" s="15">
        <f t="shared" si="4"/>
        <v>0</v>
      </c>
      <c r="J60" s="15">
        <f t="shared" si="4"/>
        <v>0</v>
      </c>
      <c r="K60" s="15">
        <f t="shared" si="4"/>
        <v>17</v>
      </c>
      <c r="L60" s="15">
        <f t="shared" si="4"/>
        <v>17</v>
      </c>
      <c r="M60" s="15">
        <f t="shared" si="4"/>
        <v>17</v>
      </c>
      <c r="N60" s="15">
        <f t="shared" si="4"/>
        <v>17</v>
      </c>
      <c r="O60" s="15">
        <f t="shared" si="4"/>
        <v>17</v>
      </c>
      <c r="P60" s="15">
        <f t="shared" si="4"/>
        <v>0</v>
      </c>
      <c r="Q60" s="15">
        <f t="shared" si="4"/>
        <v>0</v>
      </c>
      <c r="R60" s="15">
        <f t="shared" si="4"/>
        <v>17</v>
      </c>
      <c r="S60" s="15">
        <f t="shared" si="4"/>
        <v>17</v>
      </c>
      <c r="T60" s="15">
        <f t="shared" si="4"/>
        <v>17</v>
      </c>
      <c r="U60" s="15">
        <f t="shared" si="4"/>
        <v>17</v>
      </c>
      <c r="V60" s="15">
        <f t="shared" si="4"/>
        <v>17</v>
      </c>
      <c r="W60" s="15">
        <f t="shared" si="4"/>
        <v>0</v>
      </c>
      <c r="X60" s="15">
        <f t="shared" si="4"/>
        <v>0</v>
      </c>
      <c r="Y60" s="15">
        <f t="shared" si="4"/>
        <v>17</v>
      </c>
      <c r="Z60" s="15">
        <f t="shared" si="4"/>
        <v>17</v>
      </c>
      <c r="AA60" s="15">
        <f t="shared" si="4"/>
        <v>17</v>
      </c>
      <c r="AB60" s="15">
        <f t="shared" si="4"/>
        <v>17</v>
      </c>
      <c r="AC60" s="15">
        <f t="shared" si="4"/>
        <v>17</v>
      </c>
      <c r="AD60" s="15">
        <f t="shared" si="4"/>
        <v>0</v>
      </c>
      <c r="AE60" s="15">
        <f t="shared" si="4"/>
        <v>0</v>
      </c>
      <c r="AF60" s="15">
        <f t="shared" si="4"/>
        <v>17</v>
      </c>
      <c r="AG60" s="15">
        <f t="shared" si="4"/>
        <v>17</v>
      </c>
      <c r="AH60" s="15">
        <f>COUNTA(AG8:AG59)</f>
        <v>17</v>
      </c>
      <c r="AI60" s="15">
        <f>COUNTA(D60:AH60)</f>
        <v>31</v>
      </c>
      <c r="AJ60" s="15">
        <f>SUM(AI8:AI59)</f>
        <v>374</v>
      </c>
      <c r="AK60" s="15">
        <f>SUM(AJ8:AJ59)</f>
        <v>0</v>
      </c>
      <c r="AL60" s="15">
        <f t="shared" si="1"/>
        <v>405</v>
      </c>
      <c r="AM60" s="59">
        <f t="shared" si="2"/>
        <v>540.00000000000068</v>
      </c>
      <c r="AN60" s="59"/>
      <c r="AO60" s="43"/>
      <c r="AP60" s="62"/>
      <c r="AQ60" s="43"/>
      <c r="AR60" s="63">
        <f>SUM(AR8:AR59)</f>
        <v>35640</v>
      </c>
    </row>
    <row r="61" spans="1:45" ht="17.399999999999999" customHeight="1" x14ac:dyDescent="0.35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4"/>
      <c r="AO61" s="44" t="s">
        <v>113</v>
      </c>
      <c r="AP61" s="44"/>
      <c r="AQ61" s="45"/>
      <c r="AR61" s="64">
        <f>SUM(AR8:AR59)</f>
        <v>35640</v>
      </c>
      <c r="AS61" s="2"/>
    </row>
    <row r="62" spans="1:45" ht="17.399999999999999" customHeight="1" x14ac:dyDescent="0.3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46" t="s">
        <v>114</v>
      </c>
      <c r="AO62" s="46"/>
      <c r="AP62" s="46"/>
      <c r="AQ62" s="47"/>
      <c r="AR62" s="29">
        <f>(AR61*10/100)</f>
        <v>3564</v>
      </c>
      <c r="AS62" s="2"/>
    </row>
    <row r="63" spans="1:45" ht="17.399999999999999" customHeight="1" x14ac:dyDescent="0.3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46" t="s">
        <v>115</v>
      </c>
      <c r="AO63" s="48"/>
      <c r="AP63" s="48"/>
      <c r="AQ63" s="48"/>
      <c r="AR63" s="65">
        <f>(AR61-AR62)</f>
        <v>32076</v>
      </c>
      <c r="AS63" s="2"/>
    </row>
    <row r="64" spans="1:45" ht="17.399999999999999" customHeight="1" x14ac:dyDescent="0.3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1"/>
      <c r="AO64" s="46" t="s">
        <v>116</v>
      </c>
      <c r="AP64" s="48"/>
      <c r="AQ64" s="48"/>
      <c r="AR64" s="65">
        <f>(AR63*20/100)</f>
        <v>6415.2</v>
      </c>
      <c r="AS64" s="2"/>
    </row>
    <row r="65" spans="1:45" ht="17.399999999999999" customHeight="1" x14ac:dyDescent="0.3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6"/>
      <c r="AO65" s="49" t="s">
        <v>117</v>
      </c>
      <c r="AP65" s="49"/>
      <c r="AQ65" s="49"/>
      <c r="AR65" s="66">
        <f>SUM(AR63:AR64)</f>
        <v>38491.199999999997</v>
      </c>
      <c r="AS65" s="2"/>
    </row>
    <row r="66" spans="1:45" ht="17.399999999999999" customHeight="1" x14ac:dyDescent="0.35">
      <c r="A66" s="6" t="s">
        <v>118</v>
      </c>
      <c r="B66" s="12"/>
      <c r="C66" s="36" t="s">
        <v>119</v>
      </c>
      <c r="D66" s="6"/>
      <c r="E66" s="6" t="s">
        <v>120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22"/>
      <c r="AI66" s="12"/>
      <c r="AJ66" s="12"/>
      <c r="AK66" s="12"/>
      <c r="AL66" s="12"/>
      <c r="AM66" s="12"/>
      <c r="AN66" s="12"/>
      <c r="AO66" s="12"/>
      <c r="AP66" s="12"/>
      <c r="AQ66" s="35"/>
      <c r="AR66" s="12"/>
    </row>
    <row r="67" spans="1:45" ht="17.399999999999999" customHeight="1" x14ac:dyDescent="0.35">
      <c r="A67" s="12" t="s">
        <v>121</v>
      </c>
      <c r="B67" s="12"/>
      <c r="C67" s="35">
        <v>17.419354838709701</v>
      </c>
      <c r="D67" s="24" t="s">
        <v>125</v>
      </c>
      <c r="E67" s="24"/>
      <c r="F67" s="24"/>
      <c r="G67" s="10" t="s">
        <v>122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22"/>
      <c r="AI67" s="12"/>
      <c r="AJ67" s="12"/>
      <c r="AK67" s="12"/>
      <c r="AL67" s="12"/>
      <c r="AM67" s="12"/>
      <c r="AN67" s="12"/>
      <c r="AO67" s="12"/>
      <c r="AP67" s="12"/>
      <c r="AQ67" s="35"/>
      <c r="AR67" s="12"/>
    </row>
    <row r="68" spans="1:45" ht="17.399999999999999" customHeight="1" x14ac:dyDescent="0.35">
      <c r="A68" s="12"/>
      <c r="B68" s="12"/>
      <c r="C68" s="35"/>
      <c r="D68" s="24" t="s">
        <v>126</v>
      </c>
      <c r="E68" s="24"/>
      <c r="F68" s="24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22"/>
      <c r="AI68" s="12"/>
      <c r="AJ68" s="12"/>
      <c r="AK68" s="12"/>
      <c r="AL68" s="12"/>
      <c r="AM68" s="12"/>
      <c r="AN68" s="12"/>
      <c r="AO68" s="12"/>
      <c r="AP68" s="12"/>
      <c r="AQ68" s="35"/>
      <c r="AR68" s="12"/>
    </row>
    <row r="69" spans="1:45" ht="17.399999999999999" customHeight="1" x14ac:dyDescent="0.35">
      <c r="A69" s="2"/>
      <c r="C69" s="35"/>
      <c r="D69" s="2"/>
      <c r="E69" s="2"/>
    </row>
    <row r="72" spans="1:45" ht="18" customHeight="1" x14ac:dyDescent="0.35">
      <c r="A72" s="7"/>
    </row>
    <row r="76" spans="1:45" ht="17.399999999999999" customHeight="1" x14ac:dyDescent="0.35">
      <c r="A76" s="8"/>
      <c r="C76" s="35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5"/>
      <c r="AD76" s="26"/>
      <c r="AE76" s="26"/>
      <c r="AF76" s="26"/>
      <c r="AG76" s="26"/>
      <c r="AH76" s="27"/>
      <c r="AI76" s="26"/>
      <c r="AJ76" s="26"/>
      <c r="AK76" s="26"/>
      <c r="AL76" s="26"/>
      <c r="AM76" s="26"/>
      <c r="AN76" s="26"/>
      <c r="AO76" s="26"/>
      <c r="AP76" s="26"/>
      <c r="AQ76" s="26"/>
    </row>
    <row r="77" spans="1:45" ht="17.399999999999999" customHeight="1" x14ac:dyDescent="0.35">
      <c r="A77" s="23" t="s">
        <v>123</v>
      </c>
      <c r="B77" s="9"/>
      <c r="C77" s="38"/>
      <c r="D77" s="9"/>
      <c r="E77" s="9"/>
      <c r="F77" s="9"/>
      <c r="G77" s="9"/>
      <c r="H77" s="9"/>
      <c r="I77" s="9"/>
      <c r="J77" s="9"/>
      <c r="AK77" s="13"/>
      <c r="AL77" s="14"/>
      <c r="AM77" s="14"/>
      <c r="AN77" s="14"/>
      <c r="AO77" s="24" t="s">
        <v>124</v>
      </c>
      <c r="AP77" s="24"/>
      <c r="AQ77" s="24"/>
      <c r="AR77" s="24"/>
    </row>
  </sheetData>
  <mergeCells count="9">
    <mergeCell ref="D67:F67"/>
    <mergeCell ref="D68:F68"/>
    <mergeCell ref="AO61:AQ61"/>
    <mergeCell ref="AN63:AQ63"/>
    <mergeCell ref="AO64:AQ64"/>
    <mergeCell ref="AN62:AQ62"/>
    <mergeCell ref="AO65:AQ65"/>
    <mergeCell ref="AO77:AR77"/>
    <mergeCell ref="AC76:AQ76"/>
  </mergeCells>
  <printOptions horizontalCentered="1" verticalCentered="1"/>
  <pageMargins left="0.1575" right="0.1575" top="0.39374999999999999" bottom="0.39374999999999999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09.03-08.04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osman</cp:lastModifiedBy>
  <dcterms:created xsi:type="dcterms:W3CDTF">2015-06-05T18:19:34Z</dcterms:created>
  <dcterms:modified xsi:type="dcterms:W3CDTF">2026-01-31T16:32:01Z</dcterms:modified>
</cp:coreProperties>
</file>